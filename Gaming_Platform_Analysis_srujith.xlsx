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Summary_Tables" sheetId="4" state="visible" r:id="rId4"/>
    <sheet xmlns:r="http://schemas.openxmlformats.org/officeDocument/2006/relationships" name="ReadMe" sheetId="5" state="visible" r:id="rId5"/>
  </sheets>
  <definedNames>
    <definedName name="_xlnm.Print_Area" localSheetId="0">'Dashboard'!$A$1:$N$104</definedName>
  </definedNames>
  <calcPr calcId="191028" calcMode="auto" fullCalcOnLoad="1" iterateDelta="0.000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$#,##0.00"/>
  </numFmts>
  <fonts count="21">
    <font>
      <name val="Calibri"/>
      <charset val="1"/>
      <family val="2"/>
      <color theme="1"/>
      <sz val="11"/>
    </font>
    <font>
      <name val="Arial"/>
      <charset val="1"/>
      <b val="1"/>
      <color rgb="FFFFFFFF"/>
      <sz val="18"/>
    </font>
    <font>
      <name val="Arial"/>
      <charset val="1"/>
      <i val="1"/>
      <color rgb="FF595959"/>
      <sz val="10"/>
    </font>
    <font>
      <name val="Arial"/>
      <charset val="1"/>
      <b val="1"/>
      <sz val="10"/>
    </font>
    <font>
      <name val="Arial"/>
      <charset val="1"/>
      <b val="1"/>
      <color rgb="FF1F4E78"/>
      <sz val="10"/>
    </font>
    <font>
      <name val="Arial"/>
      <charset val="1"/>
      <i val="1"/>
      <color rgb="FF808080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6"/>
    </font>
    <font>
      <name val="Arial"/>
      <charset val="1"/>
      <b val="1"/>
      <color rgb="FF1F4E78"/>
      <sz val="14"/>
    </font>
    <font>
      <name val="Arial"/>
      <charset val="1"/>
      <sz val="10"/>
    </font>
    <font>
      <name val="Arial"/>
      <charset val="1"/>
      <b val="1"/>
      <color rgb="FF1F4E78"/>
      <sz val="11"/>
    </font>
    <font>
      <name val="Arial"/>
      <charset val="1"/>
      <b val="1"/>
      <sz val="12"/>
    </font>
    <font>
      <name val="Aptos"/>
      <color rgb="00172033"/>
      <sz val="10"/>
    </font>
    <font>
      <name val="Aptos Display"/>
      <b val="1"/>
      <color rgb="00FFFFFF"/>
      <sz val="24"/>
    </font>
    <font>
      <name val="Aptos"/>
      <i val="1"/>
      <color rgb="00D9E4F5"/>
      <sz val="11"/>
    </font>
    <font>
      <name val="Aptos"/>
      <b val="1"/>
      <color rgb="00FFFFFF"/>
      <sz val="10"/>
    </font>
    <font>
      <name val="Aptos"/>
      <b val="1"/>
      <color rgb="00172033"/>
      <sz val="11"/>
    </font>
    <font>
      <name val="Aptos"/>
      <i val="1"/>
      <color rgb="0064748B"/>
      <sz val="10"/>
    </font>
    <font>
      <name val="Aptos"/>
      <b val="1"/>
      <color rgb="00FFFFFF"/>
      <sz val="9"/>
    </font>
    <font>
      <name val="Aptos Display"/>
      <b val="1"/>
      <color rgb="00172033"/>
      <sz val="22"/>
    </font>
    <font>
      <name val="Aptos"/>
      <b val="1"/>
      <color rgb="0014213D"/>
      <sz val="11"/>
    </font>
  </fonts>
  <fills count="1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4A7EBB"/>
      </patternFill>
    </fill>
    <fill>
      <patternFill patternType="solid">
        <fgColor rgb="FF2E7D32"/>
        <bgColor rgb="FF008000"/>
      </patternFill>
    </fill>
    <fill>
      <patternFill patternType="solid">
        <fgColor rgb="FFB45F06"/>
        <bgColor rgb="FFC0504D"/>
      </patternFill>
    </fill>
    <fill>
      <patternFill patternType="solid">
        <fgColor rgb="FFC00000"/>
        <bgColor rgb="FF800000"/>
      </patternFill>
    </fill>
    <fill>
      <patternFill patternType="solid">
        <fgColor rgb="00FFFFFF"/>
      </patternFill>
    </fill>
    <fill>
      <patternFill patternType="solid">
        <fgColor rgb="0014213D"/>
      </patternFill>
    </fill>
    <fill>
      <patternFill patternType="solid">
        <fgColor rgb="002F6BFF"/>
      </patternFill>
    </fill>
    <fill>
      <patternFill patternType="solid">
        <fgColor rgb="00EAF1FF"/>
      </patternFill>
    </fill>
    <fill>
      <patternFill patternType="solid">
        <fgColor rgb="0016A34A"/>
      </patternFill>
    </fill>
    <fill>
      <patternFill patternType="solid">
        <fgColor rgb="00F59E0B"/>
      </patternFill>
    </fill>
    <fill>
      <patternFill patternType="solid">
        <fgColor rgb="00DC2626"/>
      </patternFill>
    </fill>
    <fill>
      <patternFill patternType="solid">
        <fgColor rgb="00F5F7FB"/>
      </patternFill>
    </fill>
    <fill>
      <patternFill patternType="solid">
        <fgColor rgb="00FBFCFE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/>
    <border>
      <left style="thin">
        <color rgb="00D9E1EC"/>
      </left>
      <right style="thin">
        <color rgb="00D9E1EC"/>
      </right>
      <top style="thin">
        <color rgb="00D9E1EC"/>
      </top>
      <bottom style="thin">
        <color rgb="00D9E1EC"/>
      </bottom>
    </border>
    <border>
      <left style="thin">
        <color rgb="00D9E1EC"/>
      </left>
      <right style="thin">
        <color rgb="00D9E1EC"/>
      </right>
      <bottom style="thin">
        <color rgb="00D9E1E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0" fontId="6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0" borderId="2" pivotButton="0" quotePrefix="0" xfId="0"/>
    <xf numFmtId="0" fontId="9" fillId="0" borderId="3" pivotButton="0" quotePrefix="0" xfId="0"/>
    <xf numFmtId="0" fontId="0" fillId="0" borderId="0" pivotButton="0" quotePrefix="0" xfId="0"/>
    <xf numFmtId="0" fontId="8" fillId="0" borderId="0" pivotButton="0" quotePrefix="0" xfId="0"/>
    <xf numFmtId="0" fontId="13" fillId="9" borderId="4" applyAlignment="1" pivotButton="0" quotePrefix="0" xfId="0">
      <alignment horizontal="left" vertical="center"/>
    </xf>
    <xf numFmtId="0" fontId="14" fillId="9" borderId="4" applyAlignment="1" pivotButton="0" quotePrefix="0" xfId="0">
      <alignment horizontal="left" vertical="center"/>
    </xf>
    <xf numFmtId="0" fontId="12" fillId="8" borderId="4" applyAlignment="1" pivotButton="0" quotePrefix="0" xfId="0">
      <alignment vertical="center"/>
    </xf>
    <xf numFmtId="0" fontId="15" fillId="10" borderId="4" applyAlignment="1" pivotButton="0" quotePrefix="0" xfId="0">
      <alignment horizontal="center" vertical="center"/>
    </xf>
    <xf numFmtId="0" fontId="16" fillId="11" borderId="5" applyAlignment="1" pivotButton="0" quotePrefix="0" xfId="0">
      <alignment horizontal="center" vertical="center"/>
    </xf>
    <xf numFmtId="0" fontId="17" fillId="8" borderId="4" applyAlignment="1" pivotButton="0" quotePrefix="0" xfId="0">
      <alignment horizontal="right" vertical="center"/>
    </xf>
    <xf numFmtId="0" fontId="18" fillId="10" borderId="5" applyAlignment="1" pivotButton="0" quotePrefix="0" xfId="0">
      <alignment horizontal="center" vertical="center"/>
    </xf>
    <xf numFmtId="0" fontId="0" fillId="10" borderId="5" pivotButton="0" quotePrefix="0" xfId="0"/>
    <xf numFmtId="0" fontId="18" fillId="12" borderId="5" applyAlignment="1" pivotButton="0" quotePrefix="0" xfId="0">
      <alignment horizontal="center" vertical="center"/>
    </xf>
    <xf numFmtId="0" fontId="0" fillId="12" borderId="5" pivotButton="0" quotePrefix="0" xfId="0"/>
    <xf numFmtId="0" fontId="18" fillId="13" borderId="5" applyAlignment="1" pivotButton="0" quotePrefix="0" xfId="0">
      <alignment horizontal="center" vertical="center"/>
    </xf>
    <xf numFmtId="0" fontId="0" fillId="13" borderId="5" pivotButton="0" quotePrefix="0" xfId="0"/>
    <xf numFmtId="0" fontId="18" fillId="14" borderId="5" applyAlignment="1" pivotButton="0" quotePrefix="0" xfId="0">
      <alignment horizontal="center" vertical="center"/>
    </xf>
    <xf numFmtId="0" fontId="0" fillId="14" borderId="5" pivotButton="0" quotePrefix="0" xfId="0"/>
    <xf numFmtId="0" fontId="19" fillId="8" borderId="6" applyAlignment="1" pivotButton="0" quotePrefix="0" xfId="0">
      <alignment horizontal="center" vertical="center"/>
    </xf>
    <xf numFmtId="0" fontId="0" fillId="8" borderId="6" pivotButton="0" quotePrefix="0" xfId="0"/>
    <xf numFmtId="165" fontId="19" fillId="8" borderId="6" applyAlignment="1" pivotButton="0" quotePrefix="0" xfId="0">
      <alignment horizontal="center" vertical="center"/>
    </xf>
    <xf numFmtId="0" fontId="20" fillId="15" borderId="4" applyAlignment="1" pivotButton="0" quotePrefix="0" xfId="0">
      <alignment horizontal="left" vertical="center"/>
    </xf>
    <xf numFmtId="0" fontId="12" fillId="16" borderId="4" applyAlignment="1" pivotButton="0" quotePrefix="0" xfId="0">
      <alignment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08080"/>
      <rgbColor rgb="FF9999FF"/>
      <rgbColor rgb="FFBE4B48"/>
      <rgbColor rgb="FFFFF2CC"/>
      <rgbColor rgb="FFCCFFFF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2E7D32"/>
      <rgbColor rgb="FF003300"/>
      <rgbColor rgb="FF333300"/>
      <rgbColor rgb="FFB45F06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Regional Gameplay Volume (Sessions)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Summary_Tables!B4</f>
              <strCache>
                <ptCount val="1"/>
                <pt idx="0">
                  <v>Sessions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Summary_Tables!$A$5:$A$11</f>
              <strCache>
                <ptCount val="6"/>
                <pt idx="0">
                  <v>Central</v>
                </pt>
                <pt idx="1">
                  <v>East</v>
                </pt>
                <pt idx="2">
                  <v>North</v>
                </pt>
                <pt idx="3">
                  <v>North-East</v>
                </pt>
                <pt idx="4">
                  <v>South</v>
                </pt>
                <pt idx="5">
                  <v>West</v>
                </pt>
              </strCache>
            </strRef>
          </cat>
          <val>
            <numRef>
              <f>Summary_Tables!$B$5:$B$11</f>
              <numCache>
                <formatCode>General</formatCode>
                <ptCount val="7"/>
                <pt idx="0">
                  <v>75</v>
                </pt>
                <pt idx="1">
                  <v>80</v>
                </pt>
                <pt idx="2">
                  <v>96</v>
                </pt>
                <pt idx="3">
                  <v>76</v>
                </pt>
                <pt idx="4">
                  <v>80</v>
                </pt>
                <pt idx="5">
                  <v>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7765874"/>
        <axId val="34226722"/>
      </barChart>
      <catAx>
        <axId val="7776587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4226722"/>
        <crosses val="autoZero"/>
        <auto val="1"/>
        <lblAlgn val="ctr"/>
        <lblOffset val="100"/>
        <noMultiLvlLbl val="0"/>
      </catAx>
      <valAx>
        <axId val="342267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776587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Monthly Trend — Sessions &amp; Purchases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Summary_Tables!B14</f>
              <strCache>
                <ptCount val="1"/>
                <pt idx="0">
                  <v>Sessions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Summary_Tables!$A$15:$A$21</f>
              <strCache>
                <ptCount val="7"/>
                <pt idx="0">
                  <v>2024-12</v>
                </pt>
                <pt idx="1">
                  <v>2025-01</v>
                </pt>
                <pt idx="2">
                  <v>2025-02</v>
                </pt>
                <pt idx="3">
                  <v>2025-03</v>
                </pt>
                <pt idx="4">
                  <v>2025-04</v>
                </pt>
                <pt idx="5">
                  <v>2025-05</v>
                </pt>
                <pt idx="6">
                  <v>2025-06</v>
                </pt>
              </strCache>
            </strRef>
          </cat>
          <val>
            <numRef>
              <f>Summary_Tables!$B$15:$B$21</f>
              <numCache>
                <formatCode>General</formatCode>
                <ptCount val="7"/>
                <pt idx="0">
                  <v>48</v>
                </pt>
                <pt idx="1">
                  <v>95</v>
                </pt>
                <pt idx="2">
                  <v>77</v>
                </pt>
                <pt idx="3">
                  <v>67</v>
                </pt>
                <pt idx="4">
                  <v>76</v>
                </pt>
                <pt idx="5">
                  <v>101</v>
                </pt>
                <pt idx="6">
                  <v>36</v>
                </pt>
              </numCache>
            </numRef>
          </val>
          <smooth val="1"/>
        </ser>
        <ser>
          <idx val="1"/>
          <order val="1"/>
          <tx>
            <strRef>
              <f>Summary_Tables!C14</f>
              <strCache>
                <ptCount val="1"/>
                <pt idx="0">
                  <v>Purchases ($)</v>
                </pt>
              </strCache>
            </strRef>
          </tx>
          <spPr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Summary_Tables!$A$15:$A$21</f>
              <strCache>
                <ptCount val="7"/>
                <pt idx="0">
                  <v>2024-12</v>
                </pt>
                <pt idx="1">
                  <v>2025-01</v>
                </pt>
                <pt idx="2">
                  <v>2025-02</v>
                </pt>
                <pt idx="3">
                  <v>2025-03</v>
                </pt>
                <pt idx="4">
                  <v>2025-04</v>
                </pt>
                <pt idx="5">
                  <v>2025-05</v>
                </pt>
                <pt idx="6">
                  <v>2025-06</v>
                </pt>
              </strCache>
            </strRef>
          </cat>
          <val>
            <numRef>
              <f>Summary_Tables!$C$15:$C$21</f>
              <numCache>
                <formatCode>General</formatCode>
                <ptCount val="7"/>
                <pt idx="0">
                  <v>167.15</v>
                </pt>
                <pt idx="1">
                  <v>336.86</v>
                </pt>
                <pt idx="2">
                  <v>586.9299999999999</v>
                </pt>
                <pt idx="3">
                  <v>361.04</v>
                </pt>
                <pt idx="4">
                  <v>459.5</v>
                </pt>
                <pt idx="5">
                  <v>590.2</v>
                </pt>
                <pt idx="6">
                  <v>129.59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26792531"/>
        <axId val="42702823"/>
      </lineChart>
      <catAx>
        <axId val="2679253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Year-Month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2702823"/>
        <crosses val="autoZero"/>
        <auto val="1"/>
        <lblAlgn val="ctr"/>
        <lblOffset val="100"/>
        <noMultiLvlLbl val="0"/>
      </catAx>
      <valAx>
        <axId val="4270282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 / 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67925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Platform Usage Split (Sessions)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Summary_Tables!B25</f>
              <strCache>
                <ptCount val="1"/>
                <pt idx="0">
                  <v>Sessions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Summary_Tables!$A$26:$A$28</f>
              <strCache>
                <ptCount val="3"/>
                <pt idx="0">
                  <v>Console</v>
                </pt>
                <pt idx="1">
                  <v>Mobile</v>
                </pt>
                <pt idx="2">
                  <v>PC</v>
                </pt>
              </strCache>
            </strRef>
          </cat>
          <val>
            <numRef>
              <f>Summary_Tables!$B$26:$B$28</f>
              <numCache>
                <formatCode>General</formatCode>
                <ptCount val="3"/>
                <pt idx="0">
                  <v>172</v>
                </pt>
                <pt idx="1">
                  <v>167</v>
                </pt>
                <pt idx="2">
                  <v>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Session Status: Completed vs Crashed vs Incomplete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Summary_Tables!B32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Summary_Tables!$A$33:$A$36</f>
              <strCache>
                <ptCount val="4"/>
                <pt idx="0">
                  <v>Completed</v>
                </pt>
                <pt idx="1">
                  <v>Crashed</v>
                </pt>
                <pt idx="2">
                  <v>Exited Early</v>
                </pt>
                <pt idx="3">
                  <v>Incomplete</v>
                </pt>
              </strCache>
            </strRef>
          </cat>
          <val>
            <numRef>
              <f>Summary_Tables!$B$33:$B$36</f>
              <numCache>
                <formatCode>General</formatCode>
                <ptCount val="4"/>
                <pt idx="0">
                  <v>360</v>
                </pt>
                <pt idx="1">
                  <v>43</v>
                </pt>
                <pt idx="2">
                  <v>52</v>
                </pt>
                <pt idx="3">
                  <v>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9629501"/>
        <axId val="33939042"/>
      </barChart>
      <catAx>
        <axId val="8962950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3939042"/>
        <crosses val="autoZero"/>
        <auto val="1"/>
        <lblAlgn val="ctr"/>
        <lblOffset val="100"/>
        <noMultiLvlLbl val="0"/>
      </catAx>
      <valAx>
        <axId val="3393904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962950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Suspicious Sessions by Region &amp; Engagement Level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Summary_Tables!B40</f>
              <strCache>
                <ptCount val="1"/>
                <pt idx="0">
                  <v>Low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Summary_Tables!$A$41:$A$46</f>
              <strCache>
                <ptCount val="6"/>
                <pt idx="0">
                  <v>Central</v>
                </pt>
                <pt idx="1">
                  <v>East</v>
                </pt>
                <pt idx="2">
                  <v>North</v>
                </pt>
                <pt idx="3">
                  <v>North-East</v>
                </pt>
                <pt idx="4">
                  <v>South</v>
                </pt>
                <pt idx="5">
                  <v>West</v>
                </pt>
              </strCache>
            </strRef>
          </cat>
          <val>
            <numRef>
              <f>Summary_Tables!$B$41:$B$46</f>
              <numCache>
                <formatCode>General</formatCode>
                <ptCount val="6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Summary_Tables!C40</f>
              <strCache>
                <ptCount val="1"/>
                <pt idx="0">
                  <v>Medium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Summary_Tables!$A$41:$A$46</f>
              <strCache>
                <ptCount val="6"/>
                <pt idx="0">
                  <v>Central</v>
                </pt>
                <pt idx="1">
                  <v>East</v>
                </pt>
                <pt idx="2">
                  <v>North</v>
                </pt>
                <pt idx="3">
                  <v>North-East</v>
                </pt>
                <pt idx="4">
                  <v>South</v>
                </pt>
                <pt idx="5">
                  <v>West</v>
                </pt>
              </strCache>
            </strRef>
          </cat>
          <val>
            <numRef>
              <f>Summary_Tables!$C$41:$C$46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Summary_Tables!D40</f>
              <strCache>
                <ptCount val="1"/>
                <pt idx="0">
                  <v>High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Summary_Tables!$A$41:$A$46</f>
              <strCache>
                <ptCount val="6"/>
                <pt idx="0">
                  <v>Central</v>
                </pt>
                <pt idx="1">
                  <v>East</v>
                </pt>
                <pt idx="2">
                  <v>North</v>
                </pt>
                <pt idx="3">
                  <v>North-East</v>
                </pt>
                <pt idx="4">
                  <v>South</v>
                </pt>
                <pt idx="5">
                  <v>West</v>
                </pt>
              </strCache>
            </strRef>
          </cat>
          <val>
            <numRef>
              <f>Summary_Tables!$D$41:$D$46</f>
              <numCache>
                <formatCode>General</formatCode>
                <ptCount val="6"/>
                <pt idx="0">
                  <v>13</v>
                </pt>
                <pt idx="1">
                  <v>19</v>
                </pt>
                <pt idx="2">
                  <v>15</v>
                </pt>
                <pt idx="3">
                  <v>17</v>
                </pt>
                <pt idx="4">
                  <v>16</v>
                </pt>
                <pt idx="5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1088015"/>
        <axId val="88004491"/>
      </barChart>
      <catAx>
        <axId val="9108801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Suspicious 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8004491"/>
        <crosses val="autoZero"/>
        <auto val="1"/>
        <lblAlgn val="ctr"/>
        <lblOffset val="100"/>
        <noMultiLvlLbl val="0"/>
      </catAx>
      <valAx>
        <axId val="88004491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108801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Session Count by Engagement Level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Summary_Tables!B50</f>
              <strCache>
                <ptCount val="1"/>
                <pt idx="0">
                  <v>Sessions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Summary_Tables!$A$51:$A$53</f>
              <strCache>
                <ptCount val="3"/>
                <pt idx="0">
                  <v>Low</v>
                </pt>
                <pt idx="1">
                  <v>Medium</v>
                </pt>
                <pt idx="2">
                  <v>High</v>
                </pt>
              </strCache>
            </strRef>
          </cat>
          <val>
            <numRef>
              <f>Summary_Tables!$B$51:$B$53</f>
              <numCache>
                <formatCode>General</formatCode>
                <ptCount val="3"/>
                <pt idx="0">
                  <v>41</v>
                </pt>
                <pt idx="1">
                  <v>133</v>
                </pt>
                <pt idx="2">
                  <v>326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0921"/>
        <axId val="52948210"/>
      </barChart>
      <catAx>
        <axId val="10092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2948210"/>
        <crosses val="autoZero"/>
        <auto val="1"/>
        <lblAlgn val="ctr"/>
        <lblOffset val="100"/>
        <noMultiLvlLbl val="0"/>
      </catAx>
      <valAx>
        <axId val="5294821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0092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Made Purchase vs Did Not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Summary_Tables!B57</f>
              <strCache>
                <ptCount val="1"/>
                <pt idx="0">
                  <v>Sessions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Summary_Tables!$A$58:$A$59</f>
              <strCache>
                <ptCount val="2"/>
                <pt idx="0">
                  <v>Yes</v>
                </pt>
                <pt idx="1">
                  <v>No</v>
                </pt>
              </strCache>
            </strRef>
          </cat>
          <val>
            <numRef>
              <f>Summary_Tables!$B$58:$B$59</f>
              <numCache>
                <formatCode>General</formatCode>
                <ptCount val="2"/>
                <pt idx="0">
                  <v>104</v>
                </pt>
                <pt idx="1">
                  <v>396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Monthly Purchase Trend (Made Purchase: Yes vs 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Summary_Tables!B63</f>
              <strCache>
                <ptCount val="1"/>
                <pt idx="0">
                  <v>Purchase: Yes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Summary_Tables!$A$64:$A$70</f>
              <strCache>
                <ptCount val="7"/>
                <pt idx="0">
                  <v>2024-12</v>
                </pt>
                <pt idx="1">
                  <v>2025-01</v>
                </pt>
                <pt idx="2">
                  <v>2025-02</v>
                </pt>
                <pt idx="3">
                  <v>2025-03</v>
                </pt>
                <pt idx="4">
                  <v>2025-04</v>
                </pt>
                <pt idx="5">
                  <v>2025-05</v>
                </pt>
                <pt idx="6">
                  <v>2025-06</v>
                </pt>
              </strCache>
            </strRef>
          </cat>
          <val>
            <numRef>
              <f>Summary_Tables!$B$64:$B$70</f>
              <numCache>
                <formatCode>General</formatCode>
                <ptCount val="7"/>
                <pt idx="0">
                  <v>9</v>
                </pt>
                <pt idx="1">
                  <v>18</v>
                </pt>
                <pt idx="2">
                  <v>21</v>
                </pt>
                <pt idx="3">
                  <v>12</v>
                </pt>
                <pt idx="4">
                  <v>16</v>
                </pt>
                <pt idx="5">
                  <v>20</v>
                </pt>
                <pt idx="6">
                  <v>8</v>
                </pt>
              </numCache>
            </numRef>
          </val>
        </ser>
        <ser>
          <idx val="1"/>
          <order val="1"/>
          <tx>
            <strRef>
              <f>Summary_Tables!C63</f>
              <strCache>
                <ptCount val="1"/>
                <pt idx="0">
                  <v>Purchase: No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Summary_Tables!$A$64:$A$70</f>
              <strCache>
                <ptCount val="7"/>
                <pt idx="0">
                  <v>2024-12</v>
                </pt>
                <pt idx="1">
                  <v>2025-01</v>
                </pt>
                <pt idx="2">
                  <v>2025-02</v>
                </pt>
                <pt idx="3">
                  <v>2025-03</v>
                </pt>
                <pt idx="4">
                  <v>2025-04</v>
                </pt>
                <pt idx="5">
                  <v>2025-05</v>
                </pt>
                <pt idx="6">
                  <v>2025-06</v>
                </pt>
              </strCache>
            </strRef>
          </cat>
          <val>
            <numRef>
              <f>Summary_Tables!$C$64:$C$70</f>
              <numCache>
                <formatCode>General</formatCode>
                <ptCount val="7"/>
                <pt idx="0">
                  <v>39</v>
                </pt>
                <pt idx="1">
                  <v>77</v>
                </pt>
                <pt idx="2">
                  <v>56</v>
                </pt>
                <pt idx="3">
                  <v>55</v>
                </pt>
                <pt idx="4">
                  <v>60</v>
                </pt>
                <pt idx="5">
                  <v>81</v>
                </pt>
                <pt idx="6">
                  <v>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36169606"/>
        <axId val="23855492"/>
      </barChart>
      <catAx>
        <axId val="3616960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3855492"/>
        <crosses val="autoZero"/>
        <auto val="1"/>
        <lblAlgn val="ctr"/>
        <lblOffset val="100"/>
        <noMultiLvlLbl val="0"/>
      </catAx>
      <valAx>
        <axId val="2385549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616960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Suspicious Sessions Over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Summary_Tables!B74</f>
              <strCache>
                <ptCount val="1"/>
                <pt idx="0">
                  <v>Suspicious Sessions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Summary_Tables!$A$75:$A$81</f>
              <strCache>
                <ptCount val="7"/>
                <pt idx="0">
                  <v>2024-12</v>
                </pt>
                <pt idx="1">
                  <v>2025-01</v>
                </pt>
                <pt idx="2">
                  <v>2025-02</v>
                </pt>
                <pt idx="3">
                  <v>2025-03</v>
                </pt>
                <pt idx="4">
                  <v>2025-04</v>
                </pt>
                <pt idx="5">
                  <v>2025-05</v>
                </pt>
                <pt idx="6">
                  <v>2025-06</v>
                </pt>
              </strCache>
            </strRef>
          </cat>
          <val>
            <numRef>
              <f>Summary_Tables!$B$75:$B$81</f>
              <numCache>
                <formatCode>General</formatCode>
                <ptCount val="7"/>
                <pt idx="0">
                  <v>15</v>
                </pt>
                <pt idx="1">
                  <v>18</v>
                </pt>
                <pt idx="2">
                  <v>13</v>
                </pt>
                <pt idx="3">
                  <v>16</v>
                </pt>
                <pt idx="4">
                  <v>13</v>
                </pt>
                <pt idx="5">
                  <v>21</v>
                </pt>
                <pt idx="6">
                  <v>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63471956"/>
        <axId val="56527214"/>
      </lineChart>
      <catAx>
        <axId val="6347195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Year-Month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6527214"/>
        <crosses val="autoZero"/>
        <auto val="1"/>
        <lblAlgn val="ctr"/>
        <lblOffset val="100"/>
        <noMultiLvlLbl val="0"/>
      </catAx>
      <valAx>
        <axId val="5652721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Suspicious Sessions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6347195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688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5688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5688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28</row>
      <rowOff>0</rowOff>
    </from>
    <ext cx="5688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5688000" cy="2951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47</row>
      <rowOff>0</rowOff>
    </from>
    <ext cx="5688000" cy="2951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66</row>
      <rowOff>0</rowOff>
    </from>
    <ext cx="5688000" cy="295199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7</col>
      <colOff>0</colOff>
      <row>66</row>
      <rowOff>0</rowOff>
    </from>
    <ext cx="5688000" cy="2951999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85</row>
      <rowOff>0</rowOff>
    </from>
    <ext cx="5688000" cy="2951999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4:N504" headerRowCount="1" totalsRowShown="0">
  <autoFilter ref="A4:N504"/>
  <tableColumns count="14">
    <tableColumn id="1" name="Session ID"/>
    <tableColumn id="2" name="Player ID"/>
    <tableColumn id="3" name="Player Name"/>
    <tableColumn id="4" name="Game Name"/>
    <tableColumn id="5" name="Platform"/>
    <tableColumn id="6" name="Region"/>
    <tableColumn id="7" name="Session Date"/>
    <tableColumn id="8" name="Session Duration (min)"/>
    <tableColumn id="9" name="In-Game Purchase ($)"/>
    <tableColumn id="10" name="Purchase Type"/>
    <tableColumn id="11" name="Session Status"/>
    <tableColumn id="12" name="Player Type"/>
    <tableColumn id="13" name="Level Reached"/>
    <tableColumn id="14" name="Is Suspicio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leanedData" displayName="CleanedData" ref="A4:S504" headerRowCount="1" totalsRowShown="0">
  <autoFilter ref="A4:S504"/>
  <tableColumns count="19">
    <tableColumn id="1" name="Session ID"/>
    <tableColumn id="2" name="Player ID"/>
    <tableColumn id="3" name="Player Name"/>
    <tableColumn id="4" name="Game Name"/>
    <tableColumn id="5" name="Platform"/>
    <tableColumn id="6" name="Region"/>
    <tableColumn id="7" name="Session Date"/>
    <tableColumn id="8" name="Session Duration (min)"/>
    <tableColumn id="9" name="In-Game Purchase ($)"/>
    <tableColumn id="10" name="Purchase Type"/>
    <tableColumn id="11" name="Session Status"/>
    <tableColumn id="12" name="Player Type"/>
    <tableColumn id="13" name="Level Reached"/>
    <tableColumn id="14" name="Is Suspicious"/>
    <tableColumn id="15" name="Year-Month"/>
    <tableColumn id="16" name="Engagement Level"/>
    <tableColumn id="17" name="Made Purchase"/>
    <tableColumn id="18" name="Suspicious Flag"/>
    <tableColumn id="19" name="QA Suspicious Matc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tabSelected="1" zoomScale="85" zoomScaleNormal="100" workbookViewId="0">
      <pane ySplit="9" topLeftCell="A10" activePane="bottomLeft" state="frozen"/>
      <selection pane="bottomLeft" activeCell="P10" sqref="L10:P17"/>
    </sheetView>
  </sheetViews>
  <sheetFormatPr baseColWidth="8" defaultColWidth="8.7109375" defaultRowHeight="15"/>
  <cols>
    <col width="13" customWidth="1" style="26" min="1" max="14"/>
    <col width="13" customWidth="1" style="26" min="2" max="2"/>
    <col width="13" customWidth="1" style="26" min="3" max="3"/>
    <col width="13" customWidth="1" style="26" min="4" max="4"/>
    <col width="13" customWidth="1" style="26" min="5" max="5"/>
    <col width="13" customWidth="1" style="26" min="6" max="6"/>
    <col width="13" customWidth="1" style="26" min="7" max="7"/>
    <col width="13" customWidth="1" style="26" min="8" max="8"/>
    <col width="13" customWidth="1" style="26" min="9" max="9"/>
    <col width="13" customWidth="1" style="26" min="10" max="10"/>
    <col width="13" customWidth="1" style="26" min="11" max="11"/>
    <col width="13" customWidth="1" style="26" min="12" max="12"/>
    <col width="13" customWidth="1" style="26" min="13" max="13"/>
    <col width="13" customWidth="1" style="26" min="14" max="14"/>
  </cols>
  <sheetData>
    <row r="1" ht="42" customHeight="1" s="26">
      <c r="A1" s="28" t="inlineStr">
        <is>
          <t>GAMING PLATFORM PLAYER &amp; TRANSACTION ANALYSIS</t>
        </is>
      </c>
    </row>
    <row r="2" ht="26" customHeight="1" s="26">
      <c r="A2" s="29" t="inlineStr">
        <is>
          <t>Indian Gaming Platform  |  Dec 2024 – Jun 2025  |  500 gaming sessions</t>
        </is>
      </c>
    </row>
    <row r="3" ht="22" customHeight="1" s="26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</row>
    <row r="4" ht="28" customHeight="1" s="26">
      <c r="A4" s="31" t="inlineStr">
        <is>
          <t>REGION</t>
        </is>
      </c>
      <c r="B4" s="32" t="inlineStr">
        <is>
          <t>All</t>
        </is>
      </c>
      <c r="C4" s="30" t="n"/>
      <c r="D4" s="31" t="inlineStr">
        <is>
          <t>PLATFORM</t>
        </is>
      </c>
      <c r="E4" s="32" t="inlineStr">
        <is>
          <t>All</t>
        </is>
      </c>
      <c r="F4" s="30" t="n"/>
      <c r="G4" s="33" t="inlineStr">
        <is>
          <t>Use the dropdowns to filter the dashboard</t>
        </is>
      </c>
    </row>
    <row r="5" ht="22" customHeight="1" s="26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</row>
    <row r="6" ht="24" customHeight="1" s="26">
      <c r="A6" s="34" t="inlineStr">
        <is>
          <t>FILTERED SESSIONS</t>
        </is>
      </c>
      <c r="B6" s="35" t="n"/>
      <c r="C6" s="30" t="n"/>
      <c r="D6" s="36" t="inlineStr">
        <is>
          <t>FILTERED REVENUE ($)</t>
        </is>
      </c>
      <c r="E6" s="37" t="n"/>
      <c r="F6" s="30" t="n"/>
      <c r="G6" s="38" t="inlineStr">
        <is>
          <t>AVG SESSION DURATION</t>
        </is>
      </c>
      <c r="H6" s="39" t="n"/>
      <c r="I6" s="30" t="n"/>
      <c r="J6" s="40" t="inlineStr">
        <is>
          <t>SUSPICIOUS SESSIONS</t>
        </is>
      </c>
      <c r="K6" s="41" t="n"/>
      <c r="L6" s="30" t="n"/>
      <c r="M6" s="30" t="n"/>
      <c r="N6" s="30" t="n"/>
    </row>
    <row r="7" ht="32" customHeight="1" s="26">
      <c r="A7" s="42">
        <f>COUNTIFS(CleanedData[Region],IF($B$4="All","*",$B$4),CleanedData[Platform],IF($E$4="All","*",$E$4))</f>
        <v/>
      </c>
      <c r="B7" s="43" t="n"/>
      <c r="C7" s="30" t="n"/>
      <c r="D7" s="44">
        <f>ROUND(SUMIFS(CleanedData[In-Game Purchase ($)],CleanedData[Region],IF($B$4="All","*",$B$4),CleanedData[Platform],IF($E$4="All","*",$E$4)),2)</f>
        <v/>
      </c>
      <c r="E7" s="43" t="n"/>
      <c r="F7" s="30" t="n"/>
      <c r="G7" s="42">
        <f>IFERROR(ROUND(AVERAGEIFS(CleanedData[Session Duration (min)],CleanedData[Region],IF($B$4="All","*",$B$4),CleanedData[Platform],IF($E$4="All","*",$E$4)),1),0)</f>
        <v/>
      </c>
      <c r="H7" s="43" t="n"/>
      <c r="I7" s="30" t="n"/>
      <c r="J7" s="42">
        <f>SUMIFS(CleanedData[Suspicious Flag],CleanedData[Region],IF($B$4="All","*",$B$4),CleanedData[Platform],IF($E$4="All","*",$E$4))</f>
        <v/>
      </c>
      <c r="K7" s="43" t="n"/>
      <c r="L7" s="30" t="n"/>
      <c r="M7" s="30" t="n"/>
      <c r="N7" s="30" t="n"/>
    </row>
    <row r="8" ht="32" customHeight="1" s="26">
      <c r="A8" s="43" t="n"/>
      <c r="B8" s="43" t="n"/>
      <c r="C8" s="30" t="n"/>
      <c r="D8" s="43" t="n"/>
      <c r="E8" s="43" t="n"/>
      <c r="F8" s="30" t="n"/>
      <c r="G8" s="43" t="n"/>
      <c r="H8" s="43" t="n"/>
      <c r="I8" s="30" t="n"/>
      <c r="J8" s="43" t="n"/>
      <c r="K8" s="43" t="n"/>
      <c r="L8" s="30" t="n"/>
      <c r="M8" s="30" t="n"/>
      <c r="N8" s="30" t="n"/>
    </row>
    <row r="9" ht="24" customHeight="1" s="26">
      <c r="A9" s="45" t="inlineStr">
        <is>
          <t>USAGE &amp; ACTIVITY OVERVIEW</t>
        </is>
      </c>
    </row>
    <row r="10" ht="22" customHeight="1" s="26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</row>
    <row r="11" ht="22" customHeight="1" s="26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</row>
    <row r="12" ht="22" customHeight="1" s="26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</row>
    <row r="13" ht="22" customHeight="1" s="26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</row>
    <row r="14" ht="22" customHeight="1" s="26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</row>
    <row r="15" ht="22" customHeight="1" s="26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</row>
    <row r="16" ht="22" customHeight="1" s="26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</row>
    <row r="17" ht="22" customHeight="1" s="26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</row>
    <row r="18" ht="22" customHeight="1" s="26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</row>
    <row r="19" ht="22" customHeight="1" s="26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</row>
    <row r="20" ht="22" customHeight="1" s="26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</row>
    <row r="21" ht="22" customHeight="1" s="26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</row>
    <row r="22" ht="22" customHeight="1" s="26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</row>
    <row r="23" ht="22" customHeight="1" s="26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</row>
    <row r="24" ht="22" customHeight="1" s="26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</row>
    <row r="25" ht="22" customHeight="1" s="26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</row>
    <row r="26" ht="22" customHeight="1" s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</row>
    <row r="27" ht="22" customHeight="1" s="26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</row>
    <row r="28" ht="24" customHeight="1" s="26">
      <c r="A28" s="45" t="inlineStr">
        <is>
          <t>PLATFORM &amp; SESSION QUALITY</t>
        </is>
      </c>
    </row>
    <row r="29" ht="22" customHeight="1" s="26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</row>
    <row r="30" ht="22" customHeight="1" s="26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</row>
    <row r="31" ht="22" customHeight="1" s="26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</row>
    <row r="32" ht="22" customHeight="1" s="26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</row>
    <row r="33" ht="22" customHeight="1" s="26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</row>
    <row r="34" ht="22" customHeight="1" s="26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</row>
    <row r="35" ht="22" customHeight="1" s="26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</row>
    <row r="36" ht="22" customHeight="1" s="2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</row>
    <row r="37" ht="22" customHeight="1" s="26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</row>
    <row r="38" ht="22" customHeight="1" s="26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</row>
    <row r="39" ht="22" customHeight="1" s="26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</row>
    <row r="40" ht="22" customHeight="1" s="26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</row>
    <row r="41" ht="22" customHeight="1" s="26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</row>
    <row r="42" ht="22" customHeight="1" s="26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</row>
    <row r="43" ht="22" customHeight="1" s="26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</row>
    <row r="44" ht="22" customHeight="1" s="26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</row>
    <row r="45" ht="22" customHeight="1" s="26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</row>
    <row r="46" ht="22" customHeight="1" s="2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</row>
    <row r="47" ht="24" customHeight="1" s="26">
      <c r="A47" s="45" t="inlineStr">
        <is>
          <t>ENGAGEMENT &amp; RISK</t>
        </is>
      </c>
    </row>
    <row r="48" ht="22" customHeight="1" s="26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</row>
    <row r="49" ht="22" customHeight="1" s="26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</row>
    <row r="50" ht="22" customHeight="1" s="26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</row>
    <row r="51" ht="22" customHeight="1" s="26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</row>
    <row r="52" ht="22" customHeight="1" s="26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</row>
    <row r="53" ht="22" customHeight="1" s="26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</row>
    <row r="54" ht="22" customHeight="1" s="26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</row>
    <row r="55" ht="22" customHeight="1" s="26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</row>
    <row r="56" ht="22" customHeight="1" s="2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</row>
    <row r="57" ht="22" customHeight="1" s="26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</row>
    <row r="58" ht="22" customHeight="1" s="26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</row>
    <row r="59" ht="22" customHeight="1" s="26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</row>
    <row r="60" ht="22" customHeight="1" s="26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</row>
    <row r="61" ht="22" customHeight="1" s="26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</row>
    <row r="62" ht="22" customHeight="1" s="26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</row>
    <row r="63" ht="22" customHeight="1" s="26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</row>
    <row r="64" ht="22" customHeight="1" s="26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 ht="22" customHeight="1" s="26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 ht="24" customHeight="1" s="26">
      <c r="A66" s="45" t="inlineStr">
        <is>
          <t>PURCHASE BEHAVIOR</t>
        </is>
      </c>
    </row>
    <row r="67" ht="22" customHeight="1" s="26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</row>
    <row r="68" ht="22" customHeight="1" s="26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</row>
    <row r="69" ht="22" customHeight="1" s="26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</row>
    <row r="70" ht="22" customHeight="1" s="26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</row>
    <row r="71" ht="22" customHeight="1" s="26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</row>
    <row r="72" ht="22" customHeight="1" s="26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</row>
    <row r="73" ht="22" customHeight="1" s="26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</row>
    <row r="74" ht="22" customHeight="1" s="26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</row>
    <row r="75" ht="22" customHeight="1" s="26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</row>
    <row r="76" ht="22" customHeight="1" s="2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</row>
    <row r="77" ht="22" customHeight="1" s="26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</row>
    <row r="78" ht="22" customHeight="1" s="26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</row>
    <row r="79" ht="22" customHeight="1" s="26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</row>
    <row r="80" ht="22" customHeight="1" s="26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</row>
    <row r="81" ht="22" customHeight="1" s="26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</row>
    <row r="82" ht="22" customHeight="1" s="26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</row>
    <row r="83" ht="22" customHeight="1" s="26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</row>
    <row r="84" ht="22" customHeight="1" s="26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</row>
    <row r="85" ht="24" customHeight="1" s="26">
      <c r="A85" s="45" t="inlineStr">
        <is>
          <t>TIME-BASED RISK TREND</t>
        </is>
      </c>
    </row>
    <row r="86" ht="22" customHeight="1" s="2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</row>
    <row r="87" ht="22" customHeight="1" s="26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</row>
    <row r="88" ht="22" customHeight="1" s="26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</row>
    <row r="89" ht="22" customHeight="1" s="26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</row>
    <row r="90" ht="22" customHeight="1" s="26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</row>
    <row r="91" ht="22" customHeight="1" s="26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</row>
    <row r="92" ht="22" customHeight="1" s="26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</row>
    <row r="93" ht="22" customHeight="1" s="26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</row>
    <row r="94" ht="22" customHeight="1" s="26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</row>
    <row r="95" ht="22" customHeight="1" s="26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</row>
    <row r="96" ht="22" customHeight="1" s="2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</row>
    <row r="97" ht="22" customHeight="1" s="26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</row>
    <row r="98" ht="22" customHeight="1" s="26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</row>
    <row r="99" ht="22" customHeight="1" s="26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</row>
    <row r="100" ht="22" customHeight="1" s="26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</row>
    <row r="101" ht="22" customHeight="1" s="26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</row>
    <row r="102" ht="22" customHeight="1" s="26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</row>
    <row r="103" ht="22" customHeight="1" s="26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</row>
    <row r="104" ht="22" customHeight="1" s="26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</row>
    <row r="105" ht="22" customHeight="1" s="26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</row>
    <row r="106" ht="22" customHeight="1" s="2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</row>
    <row r="107" ht="22" customHeight="1" s="26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</row>
    <row r="108" ht="22" customHeight="1" s="26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</row>
    <row r="109" ht="22" customHeight="1" s="26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</row>
    <row r="110" ht="22" customHeight="1" s="26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</row>
    <row r="111" ht="22" customHeight="1" s="26"/>
    <row r="112" ht="22" customHeight="1" s="26"/>
    <row r="113" ht="22" customHeight="1" s="26"/>
    <row r="114" ht="22" customHeight="1" s="26"/>
    <row r="115" ht="22" customHeight="1" s="26"/>
    <row r="116" ht="22" customHeight="1" s="26"/>
    <row r="117" ht="22" customHeight="1" s="26"/>
    <row r="118" ht="22" customHeight="1" s="26"/>
    <row r="119" ht="22" customHeight="1" s="26"/>
  </sheetData>
  <mergeCells count="16">
    <mergeCell ref="A9:N9"/>
    <mergeCell ref="D7:E8"/>
    <mergeCell ref="A2:N2"/>
    <mergeCell ref="J7:K8"/>
    <mergeCell ref="A47:N47"/>
    <mergeCell ref="A85:N85"/>
    <mergeCell ref="A6:B6"/>
    <mergeCell ref="A1:N1"/>
    <mergeCell ref="D6:E6"/>
    <mergeCell ref="G4:N4"/>
    <mergeCell ref="G7:H8"/>
    <mergeCell ref="J6:K6"/>
    <mergeCell ref="A7:B8"/>
    <mergeCell ref="G6:H6"/>
    <mergeCell ref="A28:N28"/>
    <mergeCell ref="A66:N66"/>
  </mergeCells>
  <dataValidations count="2">
    <dataValidation sqref="B4" showDropDown="0" showInputMessage="0" showErrorMessage="0" allowBlank="0" type="list">
      <formula1>"All,Central,East,North,North-East,South,West"</formula1>
      <formula2>0</formula2>
    </dataValidation>
    <dataValidation sqref="E4" showDropDown="0" showInputMessage="0" showErrorMessage="0" allowBlank="0" type="list">
      <formula1>"All,Console,Mobile,PC"</formula1>
      <formula2>0</formula2>
    </dataValidation>
  </dataValidations>
  <pageMargins left="0.25" right="0.25" top="0.35" bottom="0.35" header="0.511811023622047" footer="0.511811023622047"/>
  <pageSetup orientation="landscape" paperSize="8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4" customWidth="1" style="26" min="1" max="2"/>
    <col width="15" customWidth="1" style="26" min="3" max="3"/>
    <col width="14" customWidth="1" style="26" min="4" max="6"/>
    <col width="16" customWidth="1" style="26" min="7" max="7"/>
    <col width="26" customWidth="1" style="26" min="8" max="8"/>
    <col width="24" customWidth="1" style="26" min="9" max="9"/>
    <col width="17" customWidth="1" style="26" min="10" max="10"/>
    <col width="18" customWidth="1" style="26" min="11" max="11"/>
    <col width="15" customWidth="1" style="26" min="12" max="12"/>
    <col width="17" customWidth="1" style="26" min="13" max="14"/>
  </cols>
  <sheetData>
    <row r="1" ht="17.45" customHeight="1" s="26">
      <c r="A1" s="27" t="inlineStr">
        <is>
          <t>RAW DATA (Before Cleaning) — Gaming Platform Player &amp; Transaction Data</t>
        </is>
      </c>
    </row>
    <row r="2">
      <c r="A2" s="15" t="inlineStr">
        <is>
          <t>As provided in the case study dataset. Purchase Type is blank whenever no in-game purchase was made — this is the only field needing cleanup.</t>
        </is>
      </c>
    </row>
    <row r="4">
      <c r="A4" s="16" t="inlineStr">
        <is>
          <t>Session ID</t>
        </is>
      </c>
      <c r="B4" s="16" t="inlineStr">
        <is>
          <t>Player ID</t>
        </is>
      </c>
      <c r="C4" s="16" t="inlineStr">
        <is>
          <t>Player Name</t>
        </is>
      </c>
      <c r="D4" s="16" t="inlineStr">
        <is>
          <t>Game Name</t>
        </is>
      </c>
      <c r="E4" s="16" t="inlineStr">
        <is>
          <t>Platform</t>
        </is>
      </c>
      <c r="F4" s="16" t="inlineStr">
        <is>
          <t>Region</t>
        </is>
      </c>
      <c r="G4" s="16" t="inlineStr">
        <is>
          <t>Session Date</t>
        </is>
      </c>
      <c r="H4" s="16" t="inlineStr">
        <is>
          <t>Session Duration (min)</t>
        </is>
      </c>
      <c r="I4" s="16" t="inlineStr">
        <is>
          <t>In-Game Purchase ($)</t>
        </is>
      </c>
      <c r="J4" s="16" t="inlineStr">
        <is>
          <t>Purchase Type</t>
        </is>
      </c>
      <c r="K4" s="16" t="inlineStr">
        <is>
          <t>Session Status</t>
        </is>
      </c>
      <c r="L4" s="16" t="inlineStr">
        <is>
          <t>Player Type</t>
        </is>
      </c>
      <c r="M4" s="16" t="inlineStr">
        <is>
          <t>Level Reached</t>
        </is>
      </c>
      <c r="N4" s="16" t="inlineStr">
        <is>
          <t>Is Suspicious</t>
        </is>
      </c>
    </row>
    <row r="5">
      <c r="A5" s="17" t="inlineStr">
        <is>
          <t>S00001</t>
        </is>
      </c>
      <c r="B5" s="17" t="inlineStr">
        <is>
          <t>P3652</t>
        </is>
      </c>
      <c r="C5" s="17" t="inlineStr">
        <is>
          <t>harrisrichard</t>
        </is>
      </c>
      <c r="D5" s="17" t="inlineStr">
        <is>
          <t>BattleZone</t>
        </is>
      </c>
      <c r="E5" s="17" t="inlineStr">
        <is>
          <t>Console</t>
        </is>
      </c>
      <c r="F5" s="17" t="inlineStr">
        <is>
          <t>East</t>
        </is>
      </c>
      <c r="G5" s="17" t="inlineStr">
        <is>
          <t>2025-02-08</t>
        </is>
      </c>
      <c r="H5" s="17" t="n">
        <v>179</v>
      </c>
      <c r="I5" s="17" t="n">
        <v>0</v>
      </c>
      <c r="J5" s="17" t="n"/>
      <c r="K5" s="17" t="inlineStr">
        <is>
          <t>Completed</t>
        </is>
      </c>
      <c r="L5" s="17" t="inlineStr">
        <is>
          <t>Free</t>
        </is>
      </c>
      <c r="M5" s="17" t="n">
        <v>42</v>
      </c>
      <c r="N5" s="17" t="inlineStr">
        <is>
          <t>Yes</t>
        </is>
      </c>
    </row>
    <row r="6">
      <c r="A6" s="17" t="inlineStr">
        <is>
          <t>S00002</t>
        </is>
      </c>
      <c r="B6" s="17" t="inlineStr">
        <is>
          <t>P9981</t>
        </is>
      </c>
      <c r="C6" s="17" t="inlineStr">
        <is>
          <t>wlee</t>
        </is>
      </c>
      <c r="D6" s="17" t="inlineStr">
        <is>
          <t>Zombie Rush</t>
        </is>
      </c>
      <c r="E6" s="17" t="inlineStr">
        <is>
          <t>Mobile</t>
        </is>
      </c>
      <c r="F6" s="17" t="inlineStr">
        <is>
          <t>Central</t>
        </is>
      </c>
      <c r="G6" s="17" t="inlineStr">
        <is>
          <t>2024-12-16</t>
        </is>
      </c>
      <c r="H6" s="17" t="n">
        <v>75</v>
      </c>
      <c r="I6" s="17" t="n">
        <v>26.02</v>
      </c>
      <c r="J6" s="17" t="inlineStr">
        <is>
          <t>Boosters</t>
        </is>
      </c>
      <c r="K6" s="17" t="inlineStr">
        <is>
          <t>Completed</t>
        </is>
      </c>
      <c r="L6" s="17" t="inlineStr">
        <is>
          <t>Paid</t>
        </is>
      </c>
      <c r="M6" s="17" t="n">
        <v>11</v>
      </c>
      <c r="N6" s="17" t="inlineStr">
        <is>
          <t>No</t>
        </is>
      </c>
    </row>
    <row r="7">
      <c r="A7" s="17" t="inlineStr">
        <is>
          <t>S00003</t>
        </is>
      </c>
      <c r="B7" s="17" t="inlineStr">
        <is>
          <t>P5280</t>
        </is>
      </c>
      <c r="C7" s="17" t="inlineStr">
        <is>
          <t>katie47</t>
        </is>
      </c>
      <c r="D7" s="17" t="inlineStr">
        <is>
          <t>SpeedX</t>
        </is>
      </c>
      <c r="E7" s="17" t="inlineStr">
        <is>
          <t>Console</t>
        </is>
      </c>
      <c r="F7" s="17" t="inlineStr">
        <is>
          <t>East</t>
        </is>
      </c>
      <c r="G7" s="17" t="inlineStr">
        <is>
          <t>2024-12-17</t>
        </is>
      </c>
      <c r="H7" s="17" t="n">
        <v>36</v>
      </c>
      <c r="I7" s="17" t="n">
        <v>2.94</v>
      </c>
      <c r="J7" s="17" t="inlineStr">
        <is>
          <t>Subscriptions</t>
        </is>
      </c>
      <c r="K7" s="17" t="inlineStr">
        <is>
          <t>Completed</t>
        </is>
      </c>
      <c r="L7" s="17" t="inlineStr">
        <is>
          <t>Paid</t>
        </is>
      </c>
      <c r="M7" s="17" t="n">
        <v>4</v>
      </c>
      <c r="N7" s="17" t="inlineStr">
        <is>
          <t>No</t>
        </is>
      </c>
    </row>
    <row r="8">
      <c r="A8" s="17" t="inlineStr">
        <is>
          <t>S00004</t>
        </is>
      </c>
      <c r="B8" s="17" t="inlineStr">
        <is>
          <t>P2930</t>
        </is>
      </c>
      <c r="C8" s="17" t="inlineStr">
        <is>
          <t>isaac85</t>
        </is>
      </c>
      <c r="D8" s="17" t="inlineStr">
        <is>
          <t>Clash of Realms</t>
        </is>
      </c>
      <c r="E8" s="17" t="inlineStr">
        <is>
          <t>Mobile</t>
        </is>
      </c>
      <c r="F8" s="17" t="inlineStr">
        <is>
          <t>Central</t>
        </is>
      </c>
      <c r="G8" s="17" t="inlineStr">
        <is>
          <t>2025-06-12</t>
        </is>
      </c>
      <c r="H8" s="17" t="n">
        <v>153</v>
      </c>
      <c r="I8" s="17" t="n">
        <v>0</v>
      </c>
      <c r="J8" s="17" t="n"/>
      <c r="K8" s="17" t="inlineStr">
        <is>
          <t>Completed</t>
        </is>
      </c>
      <c r="L8" s="17" t="inlineStr">
        <is>
          <t>Free</t>
        </is>
      </c>
      <c r="M8" s="17" t="n">
        <v>18</v>
      </c>
      <c r="N8" s="17" t="inlineStr">
        <is>
          <t>Yes</t>
        </is>
      </c>
    </row>
    <row r="9">
      <c r="A9" s="17" t="inlineStr">
        <is>
          <t>S00005</t>
        </is>
      </c>
      <c r="B9" s="17" t="inlineStr">
        <is>
          <t>P7925</t>
        </is>
      </c>
      <c r="C9" s="17" t="inlineStr">
        <is>
          <t>ballarddouglas</t>
        </is>
      </c>
      <c r="D9" s="17" t="inlineStr">
        <is>
          <t>Zombie Rush</t>
        </is>
      </c>
      <c r="E9" s="17" t="inlineStr">
        <is>
          <t>Mobile</t>
        </is>
      </c>
      <c r="F9" s="17" t="inlineStr">
        <is>
          <t>North</t>
        </is>
      </c>
      <c r="G9" s="17" t="inlineStr">
        <is>
          <t>2025-05-21</t>
        </is>
      </c>
      <c r="H9" s="17" t="n">
        <v>109</v>
      </c>
      <c r="I9" s="17" t="n">
        <v>5.48</v>
      </c>
      <c r="J9" s="17" t="inlineStr">
        <is>
          <t>Boosters</t>
        </is>
      </c>
      <c r="K9" s="17" t="inlineStr">
        <is>
          <t>Crashed</t>
        </is>
      </c>
      <c r="L9" s="17" t="inlineStr">
        <is>
          <t>Paid</t>
        </is>
      </c>
      <c r="M9" s="17" t="n">
        <v>5</v>
      </c>
      <c r="N9" s="17" t="inlineStr">
        <is>
          <t>No</t>
        </is>
      </c>
    </row>
    <row r="10">
      <c r="A10" s="17" t="inlineStr">
        <is>
          <t>S00006</t>
        </is>
      </c>
      <c r="B10" s="17" t="inlineStr">
        <is>
          <t>P9919</t>
        </is>
      </c>
      <c r="C10" s="17" t="inlineStr">
        <is>
          <t>lrichardson</t>
        </is>
      </c>
      <c r="D10" s="17" t="inlineStr">
        <is>
          <t>Zombie Rush</t>
        </is>
      </c>
      <c r="E10" s="17" t="inlineStr">
        <is>
          <t>Mobile</t>
        </is>
      </c>
      <c r="F10" s="17" t="inlineStr">
        <is>
          <t>North</t>
        </is>
      </c>
      <c r="G10" s="17" t="inlineStr">
        <is>
          <t>2025-03-27</t>
        </is>
      </c>
      <c r="H10" s="17" t="n">
        <v>46</v>
      </c>
      <c r="I10" s="17" t="n">
        <v>0</v>
      </c>
      <c r="J10" s="17" t="n"/>
      <c r="K10" s="17" t="inlineStr">
        <is>
          <t>Crashed</t>
        </is>
      </c>
      <c r="L10" s="17" t="inlineStr">
        <is>
          <t>Free</t>
        </is>
      </c>
      <c r="M10" s="17" t="n">
        <v>39</v>
      </c>
      <c r="N10" s="17" t="inlineStr">
        <is>
          <t>No</t>
        </is>
      </c>
    </row>
    <row r="11">
      <c r="A11" s="17" t="inlineStr">
        <is>
          <t>S00007</t>
        </is>
      </c>
      <c r="B11" s="17" t="inlineStr">
        <is>
          <t>P7231</t>
        </is>
      </c>
      <c r="C11" s="17" t="inlineStr">
        <is>
          <t>holmesbruce</t>
        </is>
      </c>
      <c r="D11" s="17" t="inlineStr">
        <is>
          <t>Clash of Realms</t>
        </is>
      </c>
      <c r="E11" s="17" t="inlineStr">
        <is>
          <t>Console</t>
        </is>
      </c>
      <c r="F11" s="17" t="inlineStr">
        <is>
          <t>North-East</t>
        </is>
      </c>
      <c r="G11" s="17" t="inlineStr">
        <is>
          <t>2025-04-12</t>
        </is>
      </c>
      <c r="H11" s="17" t="n">
        <v>134</v>
      </c>
      <c r="I11" s="17" t="n">
        <v>42.57</v>
      </c>
      <c r="J11" s="17" t="inlineStr">
        <is>
          <t>Battle Pass</t>
        </is>
      </c>
      <c r="K11" s="17" t="inlineStr">
        <is>
          <t>Exited Early</t>
        </is>
      </c>
      <c r="L11" s="17" t="inlineStr">
        <is>
          <t>Paid</t>
        </is>
      </c>
      <c r="M11" s="17" t="n">
        <v>40</v>
      </c>
      <c r="N11" s="17" t="inlineStr">
        <is>
          <t>Yes</t>
        </is>
      </c>
    </row>
    <row r="12">
      <c r="A12" s="17" t="inlineStr">
        <is>
          <t>S00008</t>
        </is>
      </c>
      <c r="B12" s="17" t="inlineStr">
        <is>
          <t>P5965</t>
        </is>
      </c>
      <c r="C12" s="17" t="inlineStr">
        <is>
          <t>lhansen</t>
        </is>
      </c>
      <c r="D12" s="17" t="inlineStr">
        <is>
          <t>BattleZone</t>
        </is>
      </c>
      <c r="E12" s="17" t="inlineStr">
        <is>
          <t>PC</t>
        </is>
      </c>
      <c r="F12" s="17" t="inlineStr">
        <is>
          <t>South</t>
        </is>
      </c>
      <c r="G12" s="17" t="inlineStr">
        <is>
          <t>2025-01-09</t>
        </is>
      </c>
      <c r="H12" s="17" t="n">
        <v>38</v>
      </c>
      <c r="I12" s="17" t="n">
        <v>0</v>
      </c>
      <c r="J12" s="17" t="n"/>
      <c r="K12" s="17" t="inlineStr">
        <is>
          <t>Exited Early</t>
        </is>
      </c>
      <c r="L12" s="17" t="inlineStr">
        <is>
          <t>Free</t>
        </is>
      </c>
      <c r="M12" s="17" t="n">
        <v>14</v>
      </c>
      <c r="N12" s="17" t="inlineStr">
        <is>
          <t>No</t>
        </is>
      </c>
    </row>
    <row r="13">
      <c r="A13" s="17" t="inlineStr">
        <is>
          <t>S00009</t>
        </is>
      </c>
      <c r="B13" s="17" t="inlineStr">
        <is>
          <t>P3834</t>
        </is>
      </c>
      <c r="C13" s="17" t="inlineStr">
        <is>
          <t>alexis47</t>
        </is>
      </c>
      <c r="D13" s="17" t="inlineStr">
        <is>
          <t>Clash of Realms</t>
        </is>
      </c>
      <c r="E13" s="17" t="inlineStr">
        <is>
          <t>PC</t>
        </is>
      </c>
      <c r="F13" s="17" t="inlineStr">
        <is>
          <t>East</t>
        </is>
      </c>
      <c r="G13" s="17" t="inlineStr">
        <is>
          <t>2025-02-07</t>
        </is>
      </c>
      <c r="H13" s="17" t="n">
        <v>24</v>
      </c>
      <c r="I13" s="17" t="n">
        <v>0</v>
      </c>
      <c r="J13" s="17" t="n"/>
      <c r="K13" s="17" t="inlineStr">
        <is>
          <t>Exited Early</t>
        </is>
      </c>
      <c r="L13" s="17" t="inlineStr">
        <is>
          <t>Free</t>
        </is>
      </c>
      <c r="M13" s="17" t="n">
        <v>45</v>
      </c>
      <c r="N13" s="17" t="inlineStr">
        <is>
          <t>No</t>
        </is>
      </c>
    </row>
    <row r="14">
      <c r="A14" s="17" t="inlineStr">
        <is>
          <t>S00010</t>
        </is>
      </c>
      <c r="B14" s="17" t="inlineStr">
        <is>
          <t>P4220</t>
        </is>
      </c>
      <c r="C14" s="17" t="inlineStr">
        <is>
          <t>ryanmarshall</t>
        </is>
      </c>
      <c r="D14" s="17" t="inlineStr">
        <is>
          <t>Zombie Rush</t>
        </is>
      </c>
      <c r="E14" s="17" t="inlineStr">
        <is>
          <t>PC</t>
        </is>
      </c>
      <c r="F14" s="17" t="inlineStr">
        <is>
          <t>North</t>
        </is>
      </c>
      <c r="G14" s="17" t="inlineStr">
        <is>
          <t>2025-05-14</t>
        </is>
      </c>
      <c r="H14" s="17" t="n">
        <v>138</v>
      </c>
      <c r="I14" s="17" t="n">
        <v>0</v>
      </c>
      <c r="J14" s="17" t="n"/>
      <c r="K14" s="17" t="inlineStr">
        <is>
          <t>Exited Early</t>
        </is>
      </c>
      <c r="L14" s="17" t="inlineStr">
        <is>
          <t>Free</t>
        </is>
      </c>
      <c r="M14" s="17" t="n">
        <v>48</v>
      </c>
      <c r="N14" s="17" t="inlineStr">
        <is>
          <t>No</t>
        </is>
      </c>
    </row>
    <row r="15">
      <c r="A15" s="17" t="inlineStr">
        <is>
          <t>S00011</t>
        </is>
      </c>
      <c r="B15" s="17" t="inlineStr">
        <is>
          <t>P1038</t>
        </is>
      </c>
      <c r="C15" s="17" t="inlineStr">
        <is>
          <t>alexandriaparrish</t>
        </is>
      </c>
      <c r="D15" s="17" t="inlineStr">
        <is>
          <t>SpeedX</t>
        </is>
      </c>
      <c r="E15" s="17" t="inlineStr">
        <is>
          <t>Console</t>
        </is>
      </c>
      <c r="F15" s="17" t="inlineStr">
        <is>
          <t>North</t>
        </is>
      </c>
      <c r="G15" s="17" t="inlineStr">
        <is>
          <t>2025-04-09</t>
        </is>
      </c>
      <c r="H15" s="17" t="n">
        <v>26</v>
      </c>
      <c r="I15" s="17" t="n">
        <v>0</v>
      </c>
      <c r="J15" s="17" t="n"/>
      <c r="K15" s="17" t="inlineStr">
        <is>
          <t>Crashed</t>
        </is>
      </c>
      <c r="L15" s="17" t="inlineStr">
        <is>
          <t>Free</t>
        </is>
      </c>
      <c r="M15" s="17" t="n">
        <v>27</v>
      </c>
      <c r="N15" s="17" t="inlineStr">
        <is>
          <t>No</t>
        </is>
      </c>
    </row>
    <row r="16">
      <c r="A16" s="17" t="inlineStr">
        <is>
          <t>S00012</t>
        </is>
      </c>
      <c r="B16" s="17" t="inlineStr">
        <is>
          <t>P7407</t>
        </is>
      </c>
      <c r="C16" s="17" t="inlineStr">
        <is>
          <t>jacobhaynes</t>
        </is>
      </c>
      <c r="D16" s="17" t="inlineStr">
        <is>
          <t>Zombie Rush</t>
        </is>
      </c>
      <c r="E16" s="17" t="inlineStr">
        <is>
          <t>PC</t>
        </is>
      </c>
      <c r="F16" s="17" t="inlineStr">
        <is>
          <t>North</t>
        </is>
      </c>
      <c r="G16" s="17" t="inlineStr">
        <is>
          <t>2025-04-21</t>
        </is>
      </c>
      <c r="H16" s="17" t="n">
        <v>142</v>
      </c>
      <c r="I16" s="17" t="n">
        <v>0</v>
      </c>
      <c r="J16" s="17" t="n"/>
      <c r="K16" s="17" t="inlineStr">
        <is>
          <t>Completed</t>
        </is>
      </c>
      <c r="L16" s="17" t="inlineStr">
        <is>
          <t>Free</t>
        </is>
      </c>
      <c r="M16" s="17" t="n">
        <v>23</v>
      </c>
      <c r="N16" s="17" t="inlineStr">
        <is>
          <t>No</t>
        </is>
      </c>
    </row>
    <row r="17">
      <c r="A17" s="17" t="inlineStr">
        <is>
          <t>S00013</t>
        </is>
      </c>
      <c r="B17" s="17" t="inlineStr">
        <is>
          <t>P4776</t>
        </is>
      </c>
      <c r="C17" s="17" t="inlineStr">
        <is>
          <t>xjoseph</t>
        </is>
      </c>
      <c r="D17" s="17" t="inlineStr">
        <is>
          <t>SpeedX</t>
        </is>
      </c>
      <c r="E17" s="17" t="inlineStr">
        <is>
          <t>Mobile</t>
        </is>
      </c>
      <c r="F17" s="17" t="inlineStr">
        <is>
          <t>South</t>
        </is>
      </c>
      <c r="G17" s="17" t="inlineStr">
        <is>
          <t>2025-03-08</t>
        </is>
      </c>
      <c r="H17" s="17" t="n">
        <v>100</v>
      </c>
      <c r="I17" s="17" t="n">
        <v>0</v>
      </c>
      <c r="J17" s="17" t="n"/>
      <c r="K17" s="17" t="inlineStr">
        <is>
          <t>Completed</t>
        </is>
      </c>
      <c r="L17" s="17" t="inlineStr">
        <is>
          <t>Free</t>
        </is>
      </c>
      <c r="M17" s="17" t="n">
        <v>36</v>
      </c>
      <c r="N17" s="17" t="inlineStr">
        <is>
          <t>No</t>
        </is>
      </c>
    </row>
    <row r="18">
      <c r="A18" s="17" t="inlineStr">
        <is>
          <t>S00014</t>
        </is>
      </c>
      <c r="B18" s="17" t="inlineStr">
        <is>
          <t>P6935</t>
        </is>
      </c>
      <c r="C18" s="17" t="inlineStr">
        <is>
          <t>yjohnson</t>
        </is>
      </c>
      <c r="D18" s="17" t="inlineStr">
        <is>
          <t>BattleZone</t>
        </is>
      </c>
      <c r="E18" s="17" t="inlineStr">
        <is>
          <t>PC</t>
        </is>
      </c>
      <c r="F18" s="17" t="inlineStr">
        <is>
          <t>East</t>
        </is>
      </c>
      <c r="G18" s="17" t="inlineStr">
        <is>
          <t>2025-05-17</t>
        </is>
      </c>
      <c r="H18" s="17" t="n">
        <v>78</v>
      </c>
      <c r="I18" s="17" t="n">
        <v>0</v>
      </c>
      <c r="J18" s="17" t="n"/>
      <c r="K18" s="17" t="inlineStr">
        <is>
          <t>Completed</t>
        </is>
      </c>
      <c r="L18" s="17" t="inlineStr">
        <is>
          <t>Free</t>
        </is>
      </c>
      <c r="M18" s="17" t="n">
        <v>35</v>
      </c>
      <c r="N18" s="17" t="inlineStr">
        <is>
          <t>No</t>
        </is>
      </c>
    </row>
    <row r="19">
      <c r="A19" s="17" t="inlineStr">
        <is>
          <t>S00015</t>
        </is>
      </c>
      <c r="B19" s="17" t="inlineStr">
        <is>
          <t>P9150</t>
        </is>
      </c>
      <c r="C19" s="17" t="inlineStr">
        <is>
          <t>lesliemiller</t>
        </is>
      </c>
      <c r="D19" s="17" t="inlineStr">
        <is>
          <t>Empire Wars</t>
        </is>
      </c>
      <c r="E19" s="17" t="inlineStr">
        <is>
          <t>PC</t>
        </is>
      </c>
      <c r="F19" s="17" t="inlineStr">
        <is>
          <t>West</t>
        </is>
      </c>
      <c r="G19" s="17" t="inlineStr">
        <is>
          <t>2025-03-03</t>
        </is>
      </c>
      <c r="H19" s="17" t="n">
        <v>151</v>
      </c>
      <c r="I19" s="17" t="n">
        <v>0</v>
      </c>
      <c r="J19" s="17" t="n"/>
      <c r="K19" s="17" t="inlineStr">
        <is>
          <t>Completed</t>
        </is>
      </c>
      <c r="L19" s="17" t="inlineStr">
        <is>
          <t>Free</t>
        </is>
      </c>
      <c r="M19" s="17" t="n">
        <v>47</v>
      </c>
      <c r="N19" s="17" t="inlineStr">
        <is>
          <t>Yes</t>
        </is>
      </c>
    </row>
    <row r="20">
      <c r="A20" s="17" t="inlineStr">
        <is>
          <t>S00016</t>
        </is>
      </c>
      <c r="B20" s="17" t="inlineStr">
        <is>
          <t>P9796</t>
        </is>
      </c>
      <c r="C20" s="17" t="inlineStr">
        <is>
          <t>raynatalie</t>
        </is>
      </c>
      <c r="D20" s="17" t="inlineStr">
        <is>
          <t>BattleZone</t>
        </is>
      </c>
      <c r="E20" s="17" t="inlineStr">
        <is>
          <t>Mobile</t>
        </is>
      </c>
      <c r="F20" s="17" t="inlineStr">
        <is>
          <t>East</t>
        </is>
      </c>
      <c r="G20" s="17" t="inlineStr">
        <is>
          <t>2025-01-07</t>
        </is>
      </c>
      <c r="H20" s="17" t="n">
        <v>163</v>
      </c>
      <c r="I20" s="17" t="n">
        <v>0</v>
      </c>
      <c r="J20" s="17" t="n"/>
      <c r="K20" s="17" t="inlineStr">
        <is>
          <t>Completed</t>
        </is>
      </c>
      <c r="L20" s="17" t="inlineStr">
        <is>
          <t>Free</t>
        </is>
      </c>
      <c r="M20" s="17" t="n">
        <v>50</v>
      </c>
      <c r="N20" s="17" t="inlineStr">
        <is>
          <t>Yes</t>
        </is>
      </c>
    </row>
    <row r="21">
      <c r="A21" s="17" t="inlineStr">
        <is>
          <t>S00017</t>
        </is>
      </c>
      <c r="B21" s="17" t="inlineStr">
        <is>
          <t>P5317</t>
        </is>
      </c>
      <c r="C21" s="17" t="inlineStr">
        <is>
          <t>xtaylor</t>
        </is>
      </c>
      <c r="D21" s="17" t="inlineStr">
        <is>
          <t>BattleZone</t>
        </is>
      </c>
      <c r="E21" s="17" t="inlineStr">
        <is>
          <t>PC</t>
        </is>
      </c>
      <c r="F21" s="17" t="inlineStr">
        <is>
          <t>East</t>
        </is>
      </c>
      <c r="G21" s="17" t="inlineStr">
        <is>
          <t>2025-01-24</t>
        </is>
      </c>
      <c r="H21" s="17" t="n">
        <v>128</v>
      </c>
      <c r="I21" s="17" t="n">
        <v>0</v>
      </c>
      <c r="J21" s="17" t="n"/>
      <c r="K21" s="17" t="inlineStr">
        <is>
          <t>Incomplete</t>
        </is>
      </c>
      <c r="L21" s="17" t="inlineStr">
        <is>
          <t>Free</t>
        </is>
      </c>
      <c r="M21" s="17" t="n">
        <v>7</v>
      </c>
      <c r="N21" s="17" t="inlineStr">
        <is>
          <t>No</t>
        </is>
      </c>
    </row>
    <row r="22">
      <c r="A22" s="17" t="inlineStr">
        <is>
          <t>S00018</t>
        </is>
      </c>
      <c r="B22" s="17" t="inlineStr">
        <is>
          <t>P5320</t>
        </is>
      </c>
      <c r="C22" s="17" t="inlineStr">
        <is>
          <t>aguilarjennifer</t>
        </is>
      </c>
      <c r="D22" s="17" t="inlineStr">
        <is>
          <t>Empire Wars</t>
        </is>
      </c>
      <c r="E22" s="17" t="inlineStr">
        <is>
          <t>Console</t>
        </is>
      </c>
      <c r="F22" s="17" t="inlineStr">
        <is>
          <t>North-East</t>
        </is>
      </c>
      <c r="G22" s="17" t="inlineStr">
        <is>
          <t>2025-01-28</t>
        </is>
      </c>
      <c r="H22" s="17" t="n">
        <v>173</v>
      </c>
      <c r="I22" s="17" t="n">
        <v>0</v>
      </c>
      <c r="J22" s="17" t="n"/>
      <c r="K22" s="17" t="inlineStr">
        <is>
          <t>Exited Early</t>
        </is>
      </c>
      <c r="L22" s="17" t="inlineStr">
        <is>
          <t>Free</t>
        </is>
      </c>
      <c r="M22" s="17" t="n">
        <v>30</v>
      </c>
      <c r="N22" s="17" t="inlineStr">
        <is>
          <t>Yes</t>
        </is>
      </c>
    </row>
    <row r="23">
      <c r="A23" s="17" t="inlineStr">
        <is>
          <t>S00019</t>
        </is>
      </c>
      <c r="B23" s="17" t="inlineStr">
        <is>
          <t>P8261</t>
        </is>
      </c>
      <c r="C23" s="17" t="inlineStr">
        <is>
          <t>lmeza</t>
        </is>
      </c>
      <c r="D23" s="17" t="inlineStr">
        <is>
          <t>SpeedX</t>
        </is>
      </c>
      <c r="E23" s="17" t="inlineStr">
        <is>
          <t>Mobile</t>
        </is>
      </c>
      <c r="F23" s="17" t="inlineStr">
        <is>
          <t>North</t>
        </is>
      </c>
      <c r="G23" s="17" t="inlineStr">
        <is>
          <t>2025-04-22</t>
        </is>
      </c>
      <c r="H23" s="17" t="n">
        <v>49</v>
      </c>
      <c r="I23" s="17" t="n">
        <v>0</v>
      </c>
      <c r="J23" s="17" t="n"/>
      <c r="K23" s="17" t="inlineStr">
        <is>
          <t>Exited Early</t>
        </is>
      </c>
      <c r="L23" s="17" t="inlineStr">
        <is>
          <t>Free</t>
        </is>
      </c>
      <c r="M23" s="17" t="n">
        <v>47</v>
      </c>
      <c r="N23" s="17" t="inlineStr">
        <is>
          <t>No</t>
        </is>
      </c>
    </row>
    <row r="24">
      <c r="A24" s="17" t="inlineStr">
        <is>
          <t>S00020</t>
        </is>
      </c>
      <c r="B24" s="17" t="inlineStr">
        <is>
          <t>P6549</t>
        </is>
      </c>
      <c r="C24" s="17" t="inlineStr">
        <is>
          <t>michael06</t>
        </is>
      </c>
      <c r="D24" s="17" t="inlineStr">
        <is>
          <t>Zombie Rush</t>
        </is>
      </c>
      <c r="E24" s="17" t="inlineStr">
        <is>
          <t>Mobile</t>
        </is>
      </c>
      <c r="F24" s="17" t="inlineStr">
        <is>
          <t>Central</t>
        </is>
      </c>
      <c r="G24" s="17" t="inlineStr">
        <is>
          <t>2025-02-14</t>
        </is>
      </c>
      <c r="H24" s="17" t="n">
        <v>94</v>
      </c>
      <c r="I24" s="17" t="n">
        <v>0</v>
      </c>
      <c r="J24" s="17" t="n"/>
      <c r="K24" s="17" t="inlineStr">
        <is>
          <t>Crashed</t>
        </is>
      </c>
      <c r="L24" s="17" t="inlineStr">
        <is>
          <t>Free</t>
        </is>
      </c>
      <c r="M24" s="17" t="n">
        <v>48</v>
      </c>
      <c r="N24" s="17" t="inlineStr">
        <is>
          <t>No</t>
        </is>
      </c>
    </row>
    <row r="25">
      <c r="A25" s="17" t="inlineStr">
        <is>
          <t>S00021</t>
        </is>
      </c>
      <c r="B25" s="17" t="inlineStr">
        <is>
          <t>P1758</t>
        </is>
      </c>
      <c r="C25" s="17" t="inlineStr">
        <is>
          <t>lawsonderrick</t>
        </is>
      </c>
      <c r="D25" s="17" t="inlineStr">
        <is>
          <t>BattleZone</t>
        </is>
      </c>
      <c r="E25" s="17" t="inlineStr">
        <is>
          <t>PC</t>
        </is>
      </c>
      <c r="F25" s="17" t="inlineStr">
        <is>
          <t>North-East</t>
        </is>
      </c>
      <c r="G25" s="17" t="inlineStr">
        <is>
          <t>2025-05-31</t>
        </is>
      </c>
      <c r="H25" s="17" t="n">
        <v>168</v>
      </c>
      <c r="I25" s="17" t="n">
        <v>0</v>
      </c>
      <c r="J25" s="17" t="n"/>
      <c r="K25" s="17" t="inlineStr">
        <is>
          <t>Completed</t>
        </is>
      </c>
      <c r="L25" s="17" t="inlineStr">
        <is>
          <t>Free</t>
        </is>
      </c>
      <c r="M25" s="17" t="n">
        <v>33</v>
      </c>
      <c r="N25" s="17" t="inlineStr">
        <is>
          <t>Yes</t>
        </is>
      </c>
    </row>
    <row r="26">
      <c r="A26" s="17" t="inlineStr">
        <is>
          <t>S00022</t>
        </is>
      </c>
      <c r="B26" s="17" t="inlineStr">
        <is>
          <t>P5785</t>
        </is>
      </c>
      <c r="C26" s="17" t="inlineStr">
        <is>
          <t>icrawford</t>
        </is>
      </c>
      <c r="D26" s="17" t="inlineStr">
        <is>
          <t>Clash of Realms</t>
        </is>
      </c>
      <c r="E26" s="17" t="inlineStr">
        <is>
          <t>Console</t>
        </is>
      </c>
      <c r="F26" s="17" t="inlineStr">
        <is>
          <t>North</t>
        </is>
      </c>
      <c r="G26" s="17" t="inlineStr">
        <is>
          <t>2025-05-13</t>
        </is>
      </c>
      <c r="H26" s="17" t="n">
        <v>86</v>
      </c>
      <c r="I26" s="17" t="n">
        <v>0</v>
      </c>
      <c r="J26" s="17" t="n"/>
      <c r="K26" s="17" t="inlineStr">
        <is>
          <t>Completed</t>
        </is>
      </c>
      <c r="L26" s="17" t="inlineStr">
        <is>
          <t>Free</t>
        </is>
      </c>
      <c r="M26" s="17" t="n">
        <v>34</v>
      </c>
      <c r="N26" s="17" t="inlineStr">
        <is>
          <t>No</t>
        </is>
      </c>
    </row>
    <row r="27">
      <c r="A27" s="17" t="inlineStr">
        <is>
          <t>S00023</t>
        </is>
      </c>
      <c r="B27" s="17" t="inlineStr">
        <is>
          <t>P4722</t>
        </is>
      </c>
      <c r="C27" s="17" t="inlineStr">
        <is>
          <t>david54</t>
        </is>
      </c>
      <c r="D27" s="17" t="inlineStr">
        <is>
          <t>Zombie Rush</t>
        </is>
      </c>
      <c r="E27" s="17" t="inlineStr">
        <is>
          <t>Console</t>
        </is>
      </c>
      <c r="F27" s="17" t="inlineStr">
        <is>
          <t>North</t>
        </is>
      </c>
      <c r="G27" s="17" t="inlineStr">
        <is>
          <t>2025-03-22</t>
        </is>
      </c>
      <c r="H27" s="17" t="n">
        <v>58</v>
      </c>
      <c r="I27" s="17" t="n">
        <v>0</v>
      </c>
      <c r="J27" s="17" t="n"/>
      <c r="K27" s="17" t="inlineStr">
        <is>
          <t>Completed</t>
        </is>
      </c>
      <c r="L27" s="17" t="inlineStr">
        <is>
          <t>Free</t>
        </is>
      </c>
      <c r="M27" s="17" t="n">
        <v>37</v>
      </c>
      <c r="N27" s="17" t="inlineStr">
        <is>
          <t>No</t>
        </is>
      </c>
    </row>
    <row r="28">
      <c r="A28" s="17" t="inlineStr">
        <is>
          <t>S00024</t>
        </is>
      </c>
      <c r="B28" s="17" t="inlineStr">
        <is>
          <t>P8146</t>
        </is>
      </c>
      <c r="C28" s="17" t="inlineStr">
        <is>
          <t>rcraig</t>
        </is>
      </c>
      <c r="D28" s="17" t="inlineStr">
        <is>
          <t>SpeedX</t>
        </is>
      </c>
      <c r="E28" s="17" t="inlineStr">
        <is>
          <t>PC</t>
        </is>
      </c>
      <c r="F28" s="17" t="inlineStr">
        <is>
          <t>West</t>
        </is>
      </c>
      <c r="G28" s="17" t="inlineStr">
        <is>
          <t>2025-03-24</t>
        </is>
      </c>
      <c r="H28" s="17" t="n">
        <v>121</v>
      </c>
      <c r="I28" s="17" t="n">
        <v>7.28</v>
      </c>
      <c r="J28" s="17" t="inlineStr">
        <is>
          <t>Boosters</t>
        </is>
      </c>
      <c r="K28" s="17" t="inlineStr">
        <is>
          <t>Completed</t>
        </is>
      </c>
      <c r="L28" s="17" t="inlineStr">
        <is>
          <t>Paid</t>
        </is>
      </c>
      <c r="M28" s="17" t="n">
        <v>34</v>
      </c>
      <c r="N28" s="17" t="inlineStr">
        <is>
          <t>No</t>
        </is>
      </c>
    </row>
    <row r="29">
      <c r="A29" s="17" t="inlineStr">
        <is>
          <t>S00025</t>
        </is>
      </c>
      <c r="B29" s="17" t="inlineStr">
        <is>
          <t>P2146</t>
        </is>
      </c>
      <c r="C29" s="17" t="inlineStr">
        <is>
          <t>kvasquez</t>
        </is>
      </c>
      <c r="D29" s="17" t="inlineStr">
        <is>
          <t>Zombie Rush</t>
        </is>
      </c>
      <c r="E29" s="17" t="inlineStr">
        <is>
          <t>PC</t>
        </is>
      </c>
      <c r="F29" s="17" t="inlineStr">
        <is>
          <t>South</t>
        </is>
      </c>
      <c r="G29" s="17" t="inlineStr">
        <is>
          <t>2025-05-04</t>
        </is>
      </c>
      <c r="H29" s="17" t="n">
        <v>51</v>
      </c>
      <c r="I29" s="17" t="n">
        <v>0</v>
      </c>
      <c r="J29" s="17" t="n"/>
      <c r="K29" s="17" t="inlineStr">
        <is>
          <t>Crashed</t>
        </is>
      </c>
      <c r="L29" s="17" t="inlineStr">
        <is>
          <t>Free</t>
        </is>
      </c>
      <c r="M29" s="17" t="n">
        <v>41</v>
      </c>
      <c r="N29" s="17" t="inlineStr">
        <is>
          <t>No</t>
        </is>
      </c>
    </row>
    <row r="30">
      <c r="A30" s="17" t="inlineStr">
        <is>
          <t>S00026</t>
        </is>
      </c>
      <c r="B30" s="17" t="inlineStr">
        <is>
          <t>P3548</t>
        </is>
      </c>
      <c r="C30" s="17" t="inlineStr">
        <is>
          <t>erica07</t>
        </is>
      </c>
      <c r="D30" s="17" t="inlineStr">
        <is>
          <t>Empire Wars</t>
        </is>
      </c>
      <c r="E30" s="17" t="inlineStr">
        <is>
          <t>PC</t>
        </is>
      </c>
      <c r="F30" s="17" t="inlineStr">
        <is>
          <t>North-East</t>
        </is>
      </c>
      <c r="G30" s="17" t="inlineStr">
        <is>
          <t>2025-03-25</t>
        </is>
      </c>
      <c r="H30" s="17" t="n">
        <v>96</v>
      </c>
      <c r="I30" s="17" t="n">
        <v>0</v>
      </c>
      <c r="J30" s="17" t="n"/>
      <c r="K30" s="17" t="inlineStr">
        <is>
          <t>Completed</t>
        </is>
      </c>
      <c r="L30" s="17" t="inlineStr">
        <is>
          <t>Paid</t>
        </is>
      </c>
      <c r="M30" s="17" t="n">
        <v>17</v>
      </c>
      <c r="N30" s="17" t="inlineStr">
        <is>
          <t>No</t>
        </is>
      </c>
    </row>
    <row r="31">
      <c r="A31" s="17" t="inlineStr">
        <is>
          <t>S00027</t>
        </is>
      </c>
      <c r="B31" s="17" t="inlineStr">
        <is>
          <t>P2609</t>
        </is>
      </c>
      <c r="C31" s="17" t="inlineStr">
        <is>
          <t>owensoscar</t>
        </is>
      </c>
      <c r="D31" s="17" t="inlineStr">
        <is>
          <t>Empire Wars</t>
        </is>
      </c>
      <c r="E31" s="17" t="inlineStr">
        <is>
          <t>Mobile</t>
        </is>
      </c>
      <c r="F31" s="17" t="inlineStr">
        <is>
          <t>North-East</t>
        </is>
      </c>
      <c r="G31" s="17" t="inlineStr">
        <is>
          <t>2025-05-02</t>
        </is>
      </c>
      <c r="H31" s="17" t="n">
        <v>173</v>
      </c>
      <c r="I31" s="17" t="n">
        <v>0</v>
      </c>
      <c r="J31" s="17" t="n"/>
      <c r="K31" s="17" t="inlineStr">
        <is>
          <t>Completed</t>
        </is>
      </c>
      <c r="L31" s="17" t="inlineStr">
        <is>
          <t>Free</t>
        </is>
      </c>
      <c r="M31" s="17" t="n">
        <v>8</v>
      </c>
      <c r="N31" s="17" t="inlineStr">
        <is>
          <t>Yes</t>
        </is>
      </c>
    </row>
    <row r="32">
      <c r="A32" s="17" t="inlineStr">
        <is>
          <t>S00028</t>
        </is>
      </c>
      <c r="B32" s="17" t="inlineStr">
        <is>
          <t>P4851</t>
        </is>
      </c>
      <c r="C32" s="17" t="inlineStr">
        <is>
          <t>wlawson</t>
        </is>
      </c>
      <c r="D32" s="17" t="inlineStr">
        <is>
          <t>SpeedX</t>
        </is>
      </c>
      <c r="E32" s="17" t="inlineStr">
        <is>
          <t>Mobile</t>
        </is>
      </c>
      <c r="F32" s="17" t="inlineStr">
        <is>
          <t>North-East</t>
        </is>
      </c>
      <c r="G32" s="17" t="inlineStr">
        <is>
          <t>2025-02-04</t>
        </is>
      </c>
      <c r="H32" s="17" t="n">
        <v>105</v>
      </c>
      <c r="I32" s="17" t="n">
        <v>0</v>
      </c>
      <c r="J32" s="17" t="n"/>
      <c r="K32" s="17" t="inlineStr">
        <is>
          <t>Completed</t>
        </is>
      </c>
      <c r="L32" s="17" t="inlineStr">
        <is>
          <t>Free</t>
        </is>
      </c>
      <c r="M32" s="17" t="n">
        <v>11</v>
      </c>
      <c r="N32" s="17" t="inlineStr">
        <is>
          <t>No</t>
        </is>
      </c>
    </row>
    <row r="33">
      <c r="A33" s="17" t="inlineStr">
        <is>
          <t>S00029</t>
        </is>
      </c>
      <c r="B33" s="17" t="inlineStr">
        <is>
          <t>P5046</t>
        </is>
      </c>
      <c r="C33" s="17" t="inlineStr">
        <is>
          <t>kevinruiz</t>
        </is>
      </c>
      <c r="D33" s="17" t="inlineStr">
        <is>
          <t>Clash of Realms</t>
        </is>
      </c>
      <c r="E33" s="17" t="inlineStr">
        <is>
          <t>Console</t>
        </is>
      </c>
      <c r="F33" s="17" t="inlineStr">
        <is>
          <t>North-East</t>
        </is>
      </c>
      <c r="G33" s="17" t="inlineStr">
        <is>
          <t>2025-04-16</t>
        </is>
      </c>
      <c r="H33" s="17" t="n">
        <v>16</v>
      </c>
      <c r="I33" s="17" t="n">
        <v>0</v>
      </c>
      <c r="J33" s="17" t="n"/>
      <c r="K33" s="17" t="inlineStr">
        <is>
          <t>Completed</t>
        </is>
      </c>
      <c r="L33" s="17" t="inlineStr">
        <is>
          <t>Free</t>
        </is>
      </c>
      <c r="M33" s="17" t="n">
        <v>26</v>
      </c>
      <c r="N33" s="17" t="inlineStr">
        <is>
          <t>No</t>
        </is>
      </c>
    </row>
    <row r="34">
      <c r="A34" s="17" t="inlineStr">
        <is>
          <t>S00030</t>
        </is>
      </c>
      <c r="B34" s="17" t="inlineStr">
        <is>
          <t>P4408</t>
        </is>
      </c>
      <c r="C34" s="17" t="inlineStr">
        <is>
          <t>dlee</t>
        </is>
      </c>
      <c r="D34" s="17" t="inlineStr">
        <is>
          <t>SpeedX</t>
        </is>
      </c>
      <c r="E34" s="17" t="inlineStr">
        <is>
          <t>Mobile</t>
        </is>
      </c>
      <c r="F34" s="17" t="inlineStr">
        <is>
          <t>South</t>
        </is>
      </c>
      <c r="G34" s="17" t="inlineStr">
        <is>
          <t>2025-06-10</t>
        </is>
      </c>
      <c r="H34" s="17" t="n">
        <v>135</v>
      </c>
      <c r="I34" s="17" t="n">
        <v>0</v>
      </c>
      <c r="J34" s="17" t="n"/>
      <c r="K34" s="17" t="inlineStr">
        <is>
          <t>Completed</t>
        </is>
      </c>
      <c r="L34" s="17" t="inlineStr">
        <is>
          <t>Free</t>
        </is>
      </c>
      <c r="M34" s="17" t="n">
        <v>12</v>
      </c>
      <c r="N34" s="17" t="inlineStr">
        <is>
          <t>No</t>
        </is>
      </c>
    </row>
    <row r="35">
      <c r="A35" s="17" t="inlineStr">
        <is>
          <t>S00031</t>
        </is>
      </c>
      <c r="B35" s="17" t="inlineStr">
        <is>
          <t>P3683</t>
        </is>
      </c>
      <c r="C35" s="17" t="inlineStr">
        <is>
          <t>rebekah64</t>
        </is>
      </c>
      <c r="D35" s="17" t="inlineStr">
        <is>
          <t>Empire Wars</t>
        </is>
      </c>
      <c r="E35" s="17" t="inlineStr">
        <is>
          <t>Mobile</t>
        </is>
      </c>
      <c r="F35" s="17" t="inlineStr">
        <is>
          <t>North-East</t>
        </is>
      </c>
      <c r="G35" s="17" t="inlineStr">
        <is>
          <t>2025-02-06</t>
        </is>
      </c>
      <c r="H35" s="17" t="n">
        <v>96</v>
      </c>
      <c r="I35" s="17" t="n">
        <v>0</v>
      </c>
      <c r="J35" s="17" t="n"/>
      <c r="K35" s="17" t="inlineStr">
        <is>
          <t>Completed</t>
        </is>
      </c>
      <c r="L35" s="17" t="inlineStr">
        <is>
          <t>Free</t>
        </is>
      </c>
      <c r="M35" s="17" t="n">
        <v>43</v>
      </c>
      <c r="N35" s="17" t="inlineStr">
        <is>
          <t>No</t>
        </is>
      </c>
    </row>
    <row r="36">
      <c r="A36" s="17" t="inlineStr">
        <is>
          <t>S00032</t>
        </is>
      </c>
      <c r="B36" s="17" t="inlineStr">
        <is>
          <t>P6285</t>
        </is>
      </c>
      <c r="C36" s="17" t="inlineStr">
        <is>
          <t>katherinejohnston</t>
        </is>
      </c>
      <c r="D36" s="17" t="inlineStr">
        <is>
          <t>SpeedX</t>
        </is>
      </c>
      <c r="E36" s="17" t="inlineStr">
        <is>
          <t>PC</t>
        </is>
      </c>
      <c r="F36" s="17" t="inlineStr">
        <is>
          <t>North-East</t>
        </is>
      </c>
      <c r="G36" s="17" t="inlineStr">
        <is>
          <t>2025-02-20</t>
        </is>
      </c>
      <c r="H36" s="17" t="n">
        <v>16</v>
      </c>
      <c r="I36" s="17" t="n">
        <v>0</v>
      </c>
      <c r="J36" s="17" t="n"/>
      <c r="K36" s="17" t="inlineStr">
        <is>
          <t>Completed</t>
        </is>
      </c>
      <c r="L36" s="17" t="inlineStr">
        <is>
          <t>Free</t>
        </is>
      </c>
      <c r="M36" s="17" t="n">
        <v>16</v>
      </c>
      <c r="N36" s="17" t="inlineStr">
        <is>
          <t>No</t>
        </is>
      </c>
    </row>
    <row r="37">
      <c r="A37" s="17" t="inlineStr">
        <is>
          <t>S00033</t>
        </is>
      </c>
      <c r="B37" s="17" t="inlineStr">
        <is>
          <t>P4554</t>
        </is>
      </c>
      <c r="C37" s="17" t="inlineStr">
        <is>
          <t>odavis</t>
        </is>
      </c>
      <c r="D37" s="17" t="inlineStr">
        <is>
          <t>Clash of Realms</t>
        </is>
      </c>
      <c r="E37" s="17" t="inlineStr">
        <is>
          <t>PC</t>
        </is>
      </c>
      <c r="F37" s="17" t="inlineStr">
        <is>
          <t>North-East</t>
        </is>
      </c>
      <c r="G37" s="17" t="inlineStr">
        <is>
          <t>2025-02-08</t>
        </is>
      </c>
      <c r="H37" s="17" t="n">
        <v>165</v>
      </c>
      <c r="I37" s="17" t="n">
        <v>0</v>
      </c>
      <c r="J37" s="17" t="n"/>
      <c r="K37" s="17" t="inlineStr">
        <is>
          <t>Completed</t>
        </is>
      </c>
      <c r="L37" s="17" t="inlineStr">
        <is>
          <t>Free</t>
        </is>
      </c>
      <c r="M37" s="17" t="n">
        <v>23</v>
      </c>
      <c r="N37" s="17" t="inlineStr">
        <is>
          <t>Yes</t>
        </is>
      </c>
    </row>
    <row r="38">
      <c r="A38" s="17" t="inlineStr">
        <is>
          <t>S00034</t>
        </is>
      </c>
      <c r="B38" s="17" t="inlineStr">
        <is>
          <t>P6724</t>
        </is>
      </c>
      <c r="C38" s="17" t="inlineStr">
        <is>
          <t>tylermiller</t>
        </is>
      </c>
      <c r="D38" s="17" t="inlineStr">
        <is>
          <t>SpeedX</t>
        </is>
      </c>
      <c r="E38" s="17" t="inlineStr">
        <is>
          <t>PC</t>
        </is>
      </c>
      <c r="F38" s="17" t="inlineStr">
        <is>
          <t>South</t>
        </is>
      </c>
      <c r="G38" s="17" t="inlineStr">
        <is>
          <t>2025-05-20</t>
        </is>
      </c>
      <c r="H38" s="17" t="n">
        <v>25</v>
      </c>
      <c r="I38" s="17" t="n">
        <v>0</v>
      </c>
      <c r="J38" s="17" t="n"/>
      <c r="K38" s="17" t="inlineStr">
        <is>
          <t>Crashed</t>
        </is>
      </c>
      <c r="L38" s="17" t="inlineStr">
        <is>
          <t>Free</t>
        </is>
      </c>
      <c r="M38" s="17" t="n">
        <v>26</v>
      </c>
      <c r="N38" s="17" t="inlineStr">
        <is>
          <t>No</t>
        </is>
      </c>
    </row>
    <row r="39">
      <c r="A39" s="17" t="inlineStr">
        <is>
          <t>S00035</t>
        </is>
      </c>
      <c r="B39" s="17" t="inlineStr">
        <is>
          <t>P2965</t>
        </is>
      </c>
      <c r="C39" s="17" t="inlineStr">
        <is>
          <t>sonya77</t>
        </is>
      </c>
      <c r="D39" s="17" t="inlineStr">
        <is>
          <t>SpeedX</t>
        </is>
      </c>
      <c r="E39" s="17" t="inlineStr">
        <is>
          <t>PC</t>
        </is>
      </c>
      <c r="F39" s="17" t="inlineStr">
        <is>
          <t>South</t>
        </is>
      </c>
      <c r="G39" s="17" t="inlineStr">
        <is>
          <t>2025-03-13</t>
        </is>
      </c>
      <c r="H39" s="17" t="n">
        <v>140</v>
      </c>
      <c r="I39" s="17" t="n">
        <v>0</v>
      </c>
      <c r="J39" s="17" t="n"/>
      <c r="K39" s="17" t="inlineStr">
        <is>
          <t>Completed</t>
        </is>
      </c>
      <c r="L39" s="17" t="inlineStr">
        <is>
          <t>Free</t>
        </is>
      </c>
      <c r="M39" s="17" t="n">
        <v>26</v>
      </c>
      <c r="N39" s="17" t="inlineStr">
        <is>
          <t>No</t>
        </is>
      </c>
    </row>
    <row r="40">
      <c r="A40" s="17" t="inlineStr">
        <is>
          <t>S00036</t>
        </is>
      </c>
      <c r="B40" s="17" t="inlineStr">
        <is>
          <t>P4961</t>
        </is>
      </c>
      <c r="C40" s="17" t="inlineStr">
        <is>
          <t>sandyherman</t>
        </is>
      </c>
      <c r="D40" s="17" t="inlineStr">
        <is>
          <t>Empire Wars</t>
        </is>
      </c>
      <c r="E40" s="17" t="inlineStr">
        <is>
          <t>Mobile</t>
        </is>
      </c>
      <c r="F40" s="17" t="inlineStr">
        <is>
          <t>Central</t>
        </is>
      </c>
      <c r="G40" s="17" t="inlineStr">
        <is>
          <t>2025-04-03</t>
        </is>
      </c>
      <c r="H40" s="17" t="n">
        <v>86</v>
      </c>
      <c r="I40" s="17" t="n">
        <v>0</v>
      </c>
      <c r="J40" s="17" t="n"/>
      <c r="K40" s="17" t="inlineStr">
        <is>
          <t>Completed</t>
        </is>
      </c>
      <c r="L40" s="17" t="inlineStr">
        <is>
          <t>Free</t>
        </is>
      </c>
      <c r="M40" s="17" t="n">
        <v>47</v>
      </c>
      <c r="N40" s="17" t="inlineStr">
        <is>
          <t>No</t>
        </is>
      </c>
    </row>
    <row r="41">
      <c r="A41" s="17" t="inlineStr">
        <is>
          <t>S00037</t>
        </is>
      </c>
      <c r="B41" s="17" t="inlineStr">
        <is>
          <t>P2861</t>
        </is>
      </c>
      <c r="C41" s="17" t="inlineStr">
        <is>
          <t>leahlee</t>
        </is>
      </c>
      <c r="D41" s="17" t="inlineStr">
        <is>
          <t>Clash of Realms</t>
        </is>
      </c>
      <c r="E41" s="17" t="inlineStr">
        <is>
          <t>PC</t>
        </is>
      </c>
      <c r="F41" s="17" t="inlineStr">
        <is>
          <t>North</t>
        </is>
      </c>
      <c r="G41" s="17" t="inlineStr">
        <is>
          <t>2025-03-05</t>
        </is>
      </c>
      <c r="H41" s="17" t="n">
        <v>149</v>
      </c>
      <c r="I41" s="17" t="n">
        <v>0</v>
      </c>
      <c r="J41" s="17" t="n"/>
      <c r="K41" s="17" t="inlineStr">
        <is>
          <t>Completed</t>
        </is>
      </c>
      <c r="L41" s="17" t="inlineStr">
        <is>
          <t>Free</t>
        </is>
      </c>
      <c r="M41" s="17" t="n">
        <v>48</v>
      </c>
      <c r="N41" s="17" t="inlineStr">
        <is>
          <t>No</t>
        </is>
      </c>
    </row>
    <row r="42">
      <c r="A42" s="17" t="inlineStr">
        <is>
          <t>S00038</t>
        </is>
      </c>
      <c r="B42" s="17" t="inlineStr">
        <is>
          <t>P7945</t>
        </is>
      </c>
      <c r="C42" s="17" t="inlineStr">
        <is>
          <t>richardhooper</t>
        </is>
      </c>
      <c r="D42" s="17" t="inlineStr">
        <is>
          <t>BattleZone</t>
        </is>
      </c>
      <c r="E42" s="17" t="inlineStr">
        <is>
          <t>Console</t>
        </is>
      </c>
      <c r="F42" s="17" t="inlineStr">
        <is>
          <t>Central</t>
        </is>
      </c>
      <c r="G42" s="17" t="inlineStr">
        <is>
          <t>2025-05-13</t>
        </is>
      </c>
      <c r="H42" s="17" t="n">
        <v>121</v>
      </c>
      <c r="I42" s="17" t="n">
        <v>0</v>
      </c>
      <c r="J42" s="17" t="n"/>
      <c r="K42" s="17" t="inlineStr">
        <is>
          <t>Completed</t>
        </is>
      </c>
      <c r="L42" s="17" t="inlineStr">
        <is>
          <t>Free</t>
        </is>
      </c>
      <c r="M42" s="17" t="n">
        <v>14</v>
      </c>
      <c r="N42" s="17" t="inlineStr">
        <is>
          <t>No</t>
        </is>
      </c>
    </row>
    <row r="43">
      <c r="A43" s="17" t="inlineStr">
        <is>
          <t>S00039</t>
        </is>
      </c>
      <c r="B43" s="17" t="inlineStr">
        <is>
          <t>P3668</t>
        </is>
      </c>
      <c r="C43" s="17" t="inlineStr">
        <is>
          <t>jenniferwilcox</t>
        </is>
      </c>
      <c r="D43" s="17" t="inlineStr">
        <is>
          <t>SpeedX</t>
        </is>
      </c>
      <c r="E43" s="17" t="inlineStr">
        <is>
          <t>Mobile</t>
        </is>
      </c>
      <c r="F43" s="17" t="inlineStr">
        <is>
          <t>Central</t>
        </is>
      </c>
      <c r="G43" s="17" t="inlineStr">
        <is>
          <t>2025-02-14</t>
        </is>
      </c>
      <c r="H43" s="17" t="n">
        <v>154</v>
      </c>
      <c r="I43" s="17" t="n">
        <v>0</v>
      </c>
      <c r="J43" s="17" t="n"/>
      <c r="K43" s="17" t="inlineStr">
        <is>
          <t>Completed</t>
        </is>
      </c>
      <c r="L43" s="17" t="inlineStr">
        <is>
          <t>Free</t>
        </is>
      </c>
      <c r="M43" s="17" t="n">
        <v>44</v>
      </c>
      <c r="N43" s="17" t="inlineStr">
        <is>
          <t>Yes</t>
        </is>
      </c>
    </row>
    <row r="44">
      <c r="A44" s="17" t="inlineStr">
        <is>
          <t>S00040</t>
        </is>
      </c>
      <c r="B44" s="17" t="inlineStr">
        <is>
          <t>P3875</t>
        </is>
      </c>
      <c r="C44" s="17" t="inlineStr">
        <is>
          <t>bruce09</t>
        </is>
      </c>
      <c r="D44" s="17" t="inlineStr">
        <is>
          <t>SpeedX</t>
        </is>
      </c>
      <c r="E44" s="17" t="inlineStr">
        <is>
          <t>PC</t>
        </is>
      </c>
      <c r="F44" s="17" t="inlineStr">
        <is>
          <t>North-East</t>
        </is>
      </c>
      <c r="G44" s="17" t="inlineStr">
        <is>
          <t>2025-01-16</t>
        </is>
      </c>
      <c r="H44" s="17" t="n">
        <v>82</v>
      </c>
      <c r="I44" s="17" t="n">
        <v>24.1</v>
      </c>
      <c r="J44" s="17" t="inlineStr">
        <is>
          <t>Skins</t>
        </is>
      </c>
      <c r="K44" s="17" t="inlineStr">
        <is>
          <t>Completed</t>
        </is>
      </c>
      <c r="L44" s="17" t="inlineStr">
        <is>
          <t>Paid</t>
        </is>
      </c>
      <c r="M44" s="17" t="n">
        <v>34</v>
      </c>
      <c r="N44" s="17" t="inlineStr">
        <is>
          <t>No</t>
        </is>
      </c>
    </row>
    <row r="45">
      <c r="A45" s="17" t="inlineStr">
        <is>
          <t>S00041</t>
        </is>
      </c>
      <c r="B45" s="17" t="inlineStr">
        <is>
          <t>P2707</t>
        </is>
      </c>
      <c r="C45" s="17" t="inlineStr">
        <is>
          <t>tpark</t>
        </is>
      </c>
      <c r="D45" s="17" t="inlineStr">
        <is>
          <t>Empire Wars</t>
        </is>
      </c>
      <c r="E45" s="17" t="inlineStr">
        <is>
          <t>PC</t>
        </is>
      </c>
      <c r="F45" s="17" t="inlineStr">
        <is>
          <t>South</t>
        </is>
      </c>
      <c r="G45" s="17" t="inlineStr">
        <is>
          <t>2024-12-16</t>
        </is>
      </c>
      <c r="H45" s="17" t="n">
        <v>49</v>
      </c>
      <c r="I45" s="17" t="n">
        <v>0</v>
      </c>
      <c r="J45" s="17" t="n"/>
      <c r="K45" s="17" t="inlineStr">
        <is>
          <t>Completed</t>
        </is>
      </c>
      <c r="L45" s="17" t="inlineStr">
        <is>
          <t>Free</t>
        </is>
      </c>
      <c r="M45" s="17" t="n">
        <v>9</v>
      </c>
      <c r="N45" s="17" t="inlineStr">
        <is>
          <t>No</t>
        </is>
      </c>
    </row>
    <row r="46">
      <c r="A46" s="17" t="inlineStr">
        <is>
          <t>S00042</t>
        </is>
      </c>
      <c r="B46" s="17" t="inlineStr">
        <is>
          <t>P2683</t>
        </is>
      </c>
      <c r="C46" s="17" t="inlineStr">
        <is>
          <t>csanchez</t>
        </is>
      </c>
      <c r="D46" s="17" t="inlineStr">
        <is>
          <t>Clash of Realms</t>
        </is>
      </c>
      <c r="E46" s="17" t="inlineStr">
        <is>
          <t>Console</t>
        </is>
      </c>
      <c r="F46" s="17" t="inlineStr">
        <is>
          <t>South</t>
        </is>
      </c>
      <c r="G46" s="17" t="inlineStr">
        <is>
          <t>2025-05-06</t>
        </is>
      </c>
      <c r="H46" s="17" t="n">
        <v>35</v>
      </c>
      <c r="I46" s="17" t="n">
        <v>0</v>
      </c>
      <c r="J46" s="17" t="n"/>
      <c r="K46" s="17" t="inlineStr">
        <is>
          <t>Completed</t>
        </is>
      </c>
      <c r="L46" s="17" t="inlineStr">
        <is>
          <t>Paid</t>
        </is>
      </c>
      <c r="M46" s="17" t="n">
        <v>33</v>
      </c>
      <c r="N46" s="17" t="inlineStr">
        <is>
          <t>No</t>
        </is>
      </c>
    </row>
    <row r="47">
      <c r="A47" s="17" t="inlineStr">
        <is>
          <t>S00043</t>
        </is>
      </c>
      <c r="B47" s="17" t="inlineStr">
        <is>
          <t>P2171</t>
        </is>
      </c>
      <c r="C47" s="17" t="inlineStr">
        <is>
          <t>nnguyen</t>
        </is>
      </c>
      <c r="D47" s="17" t="inlineStr">
        <is>
          <t>BattleZone</t>
        </is>
      </c>
      <c r="E47" s="17" t="inlineStr">
        <is>
          <t>PC</t>
        </is>
      </c>
      <c r="F47" s="17" t="inlineStr">
        <is>
          <t>West</t>
        </is>
      </c>
      <c r="G47" s="17" t="inlineStr">
        <is>
          <t>2025-01-19</t>
        </is>
      </c>
      <c r="H47" s="17" t="n">
        <v>112</v>
      </c>
      <c r="I47" s="17" t="n">
        <v>30.74</v>
      </c>
      <c r="J47" s="17" t="inlineStr">
        <is>
          <t>Subscriptions</t>
        </is>
      </c>
      <c r="K47" s="17" t="inlineStr">
        <is>
          <t>Completed</t>
        </is>
      </c>
      <c r="L47" s="17" t="inlineStr">
        <is>
          <t>Paid</t>
        </is>
      </c>
      <c r="M47" s="17" t="n">
        <v>10</v>
      </c>
      <c r="N47" s="17" t="inlineStr">
        <is>
          <t>No</t>
        </is>
      </c>
    </row>
    <row r="48">
      <c r="A48" s="17" t="inlineStr">
        <is>
          <t>S00044</t>
        </is>
      </c>
      <c r="B48" s="17" t="inlineStr">
        <is>
          <t>P5497</t>
        </is>
      </c>
      <c r="C48" s="17" t="inlineStr">
        <is>
          <t>vmooney</t>
        </is>
      </c>
      <c r="D48" s="17" t="inlineStr">
        <is>
          <t>BattleZone</t>
        </is>
      </c>
      <c r="E48" s="17" t="inlineStr">
        <is>
          <t>Console</t>
        </is>
      </c>
      <c r="F48" s="17" t="inlineStr">
        <is>
          <t>West</t>
        </is>
      </c>
      <c r="G48" s="17" t="inlineStr">
        <is>
          <t>2025-02-04</t>
        </is>
      </c>
      <c r="H48" s="17" t="n">
        <v>67</v>
      </c>
      <c r="I48" s="17" t="n">
        <v>0</v>
      </c>
      <c r="J48" s="17" t="n"/>
      <c r="K48" s="17" t="inlineStr">
        <is>
          <t>Exited Early</t>
        </is>
      </c>
      <c r="L48" s="17" t="inlineStr">
        <is>
          <t>Free</t>
        </is>
      </c>
      <c r="M48" s="17" t="n">
        <v>16</v>
      </c>
      <c r="N48" s="17" t="inlineStr">
        <is>
          <t>No</t>
        </is>
      </c>
    </row>
    <row r="49">
      <c r="A49" s="17" t="inlineStr">
        <is>
          <t>S00045</t>
        </is>
      </c>
      <c r="B49" s="17" t="inlineStr">
        <is>
          <t>P7820</t>
        </is>
      </c>
      <c r="C49" s="17" t="inlineStr">
        <is>
          <t>jennifer87</t>
        </is>
      </c>
      <c r="D49" s="17" t="inlineStr">
        <is>
          <t>BattleZone</t>
        </is>
      </c>
      <c r="E49" s="17" t="inlineStr">
        <is>
          <t>PC</t>
        </is>
      </c>
      <c r="F49" s="17" t="inlineStr">
        <is>
          <t>West</t>
        </is>
      </c>
      <c r="G49" s="17" t="inlineStr">
        <is>
          <t>2025-01-19</t>
        </is>
      </c>
      <c r="H49" s="17" t="n">
        <v>15</v>
      </c>
      <c r="I49" s="17" t="n">
        <v>0</v>
      </c>
      <c r="J49" s="17" t="n"/>
      <c r="K49" s="17" t="inlineStr">
        <is>
          <t>Crashed</t>
        </is>
      </c>
      <c r="L49" s="17" t="inlineStr">
        <is>
          <t>Free</t>
        </is>
      </c>
      <c r="M49" s="17" t="n">
        <v>38</v>
      </c>
      <c r="N49" s="17" t="inlineStr">
        <is>
          <t>No</t>
        </is>
      </c>
    </row>
    <row r="50">
      <c r="A50" s="17" t="inlineStr">
        <is>
          <t>S00046</t>
        </is>
      </c>
      <c r="B50" s="17" t="inlineStr">
        <is>
          <t>P5339</t>
        </is>
      </c>
      <c r="C50" s="17" t="inlineStr">
        <is>
          <t>jcarter</t>
        </is>
      </c>
      <c r="D50" s="17" t="inlineStr">
        <is>
          <t>SpeedX</t>
        </is>
      </c>
      <c r="E50" s="17" t="inlineStr">
        <is>
          <t>Console</t>
        </is>
      </c>
      <c r="F50" s="17" t="inlineStr">
        <is>
          <t>South</t>
        </is>
      </c>
      <c r="G50" s="17" t="inlineStr">
        <is>
          <t>2025-03-01</t>
        </is>
      </c>
      <c r="H50" s="17" t="n">
        <v>8</v>
      </c>
      <c r="I50" s="17" t="n">
        <v>0</v>
      </c>
      <c r="J50" s="17" t="n"/>
      <c r="K50" s="17" t="inlineStr">
        <is>
          <t>Completed</t>
        </is>
      </c>
      <c r="L50" s="17" t="inlineStr">
        <is>
          <t>Free</t>
        </is>
      </c>
      <c r="M50" s="17" t="n">
        <v>33</v>
      </c>
      <c r="N50" s="17" t="inlineStr">
        <is>
          <t>No</t>
        </is>
      </c>
    </row>
    <row r="51">
      <c r="A51" s="17" t="inlineStr">
        <is>
          <t>S00047</t>
        </is>
      </c>
      <c r="B51" s="17" t="inlineStr">
        <is>
          <t>P2125</t>
        </is>
      </c>
      <c r="C51" s="17" t="inlineStr">
        <is>
          <t>jlane</t>
        </is>
      </c>
      <c r="D51" s="17" t="inlineStr">
        <is>
          <t>Clash of Realms</t>
        </is>
      </c>
      <c r="E51" s="17" t="inlineStr">
        <is>
          <t>Mobile</t>
        </is>
      </c>
      <c r="F51" s="17" t="inlineStr">
        <is>
          <t>West</t>
        </is>
      </c>
      <c r="G51" s="17" t="inlineStr">
        <is>
          <t>2024-12-17</t>
        </is>
      </c>
      <c r="H51" s="17" t="n">
        <v>27</v>
      </c>
      <c r="I51" s="17" t="n">
        <v>0</v>
      </c>
      <c r="J51" s="17" t="n"/>
      <c r="K51" s="17" t="inlineStr">
        <is>
          <t>Completed</t>
        </is>
      </c>
      <c r="L51" s="17" t="inlineStr">
        <is>
          <t>Free</t>
        </is>
      </c>
      <c r="M51" s="17" t="n">
        <v>19</v>
      </c>
      <c r="N51" s="17" t="inlineStr">
        <is>
          <t>No</t>
        </is>
      </c>
    </row>
    <row r="52">
      <c r="A52" s="17" t="inlineStr">
        <is>
          <t>S00048</t>
        </is>
      </c>
      <c r="B52" s="17" t="inlineStr">
        <is>
          <t>P1178</t>
        </is>
      </c>
      <c r="C52" s="17" t="inlineStr">
        <is>
          <t>nathan33</t>
        </is>
      </c>
      <c r="D52" s="17" t="inlineStr">
        <is>
          <t>BattleZone</t>
        </is>
      </c>
      <c r="E52" s="17" t="inlineStr">
        <is>
          <t>Console</t>
        </is>
      </c>
      <c r="F52" s="17" t="inlineStr">
        <is>
          <t>North</t>
        </is>
      </c>
      <c r="G52" s="17" t="inlineStr">
        <is>
          <t>2025-02-04</t>
        </is>
      </c>
      <c r="H52" s="17" t="n">
        <v>115</v>
      </c>
      <c r="I52" s="17" t="n">
        <v>22.35</v>
      </c>
      <c r="J52" s="17" t="inlineStr">
        <is>
          <t>Subscriptions</t>
        </is>
      </c>
      <c r="K52" s="17" t="inlineStr">
        <is>
          <t>Completed</t>
        </is>
      </c>
      <c r="L52" s="17" t="inlineStr">
        <is>
          <t>Paid</t>
        </is>
      </c>
      <c r="M52" s="17" t="n">
        <v>43</v>
      </c>
      <c r="N52" s="17" t="inlineStr">
        <is>
          <t>No</t>
        </is>
      </c>
    </row>
    <row r="53">
      <c r="A53" s="17" t="inlineStr">
        <is>
          <t>S00049</t>
        </is>
      </c>
      <c r="B53" s="17" t="inlineStr">
        <is>
          <t>P2502</t>
        </is>
      </c>
      <c r="C53" s="17" t="inlineStr">
        <is>
          <t>owensjoseph</t>
        </is>
      </c>
      <c r="D53" s="17" t="inlineStr">
        <is>
          <t>Zombie Rush</t>
        </is>
      </c>
      <c r="E53" s="17" t="inlineStr">
        <is>
          <t>Mobile</t>
        </is>
      </c>
      <c r="F53" s="17" t="inlineStr">
        <is>
          <t>Central</t>
        </is>
      </c>
      <c r="G53" s="17" t="inlineStr">
        <is>
          <t>2025-02-27</t>
        </is>
      </c>
      <c r="H53" s="17" t="n">
        <v>27</v>
      </c>
      <c r="I53" s="17" t="n">
        <v>0</v>
      </c>
      <c r="J53" s="17" t="n"/>
      <c r="K53" s="17" t="inlineStr">
        <is>
          <t>Completed</t>
        </is>
      </c>
      <c r="L53" s="17" t="inlineStr">
        <is>
          <t>Free</t>
        </is>
      </c>
      <c r="M53" s="17" t="n">
        <v>39</v>
      </c>
      <c r="N53" s="17" t="inlineStr">
        <is>
          <t>No</t>
        </is>
      </c>
    </row>
    <row r="54">
      <c r="A54" s="17" t="inlineStr">
        <is>
          <t>S00050</t>
        </is>
      </c>
      <c r="B54" s="17" t="inlineStr">
        <is>
          <t>P5155</t>
        </is>
      </c>
      <c r="C54" s="17" t="inlineStr">
        <is>
          <t>griffinsarah</t>
        </is>
      </c>
      <c r="D54" s="17" t="inlineStr">
        <is>
          <t>SpeedX</t>
        </is>
      </c>
      <c r="E54" s="17" t="inlineStr">
        <is>
          <t>Mobile</t>
        </is>
      </c>
      <c r="F54" s="17" t="inlineStr">
        <is>
          <t>Central</t>
        </is>
      </c>
      <c r="G54" s="17" t="inlineStr">
        <is>
          <t>2025-01-01</t>
        </is>
      </c>
      <c r="H54" s="17" t="n">
        <v>82</v>
      </c>
      <c r="I54" s="17" t="n">
        <v>0</v>
      </c>
      <c r="J54" s="17" t="n"/>
      <c r="K54" s="17" t="inlineStr">
        <is>
          <t>Incomplete</t>
        </is>
      </c>
      <c r="L54" s="17" t="inlineStr">
        <is>
          <t>Free</t>
        </is>
      </c>
      <c r="M54" s="17" t="n">
        <v>26</v>
      </c>
      <c r="N54" s="17" t="inlineStr">
        <is>
          <t>No</t>
        </is>
      </c>
    </row>
    <row r="55">
      <c r="A55" s="17" t="inlineStr">
        <is>
          <t>S00051</t>
        </is>
      </c>
      <c r="B55" s="17" t="inlineStr">
        <is>
          <t>P3174</t>
        </is>
      </c>
      <c r="C55" s="17" t="inlineStr">
        <is>
          <t>petersonlacey</t>
        </is>
      </c>
      <c r="D55" s="17" t="inlineStr">
        <is>
          <t>BattleZone</t>
        </is>
      </c>
      <c r="E55" s="17" t="inlineStr">
        <is>
          <t>Console</t>
        </is>
      </c>
      <c r="F55" s="17" t="inlineStr">
        <is>
          <t>South</t>
        </is>
      </c>
      <c r="G55" s="17" t="inlineStr">
        <is>
          <t>2025-05-04</t>
        </is>
      </c>
      <c r="H55" s="17" t="n">
        <v>42</v>
      </c>
      <c r="I55" s="17" t="n">
        <v>0</v>
      </c>
      <c r="J55" s="17" t="n"/>
      <c r="K55" s="17" t="inlineStr">
        <is>
          <t>Completed</t>
        </is>
      </c>
      <c r="L55" s="17" t="inlineStr">
        <is>
          <t>Free</t>
        </is>
      </c>
      <c r="M55" s="17" t="n">
        <v>18</v>
      </c>
      <c r="N55" s="17" t="inlineStr">
        <is>
          <t>No</t>
        </is>
      </c>
    </row>
    <row r="56">
      <c r="A56" s="17" t="inlineStr">
        <is>
          <t>S00052</t>
        </is>
      </c>
      <c r="B56" s="17" t="inlineStr">
        <is>
          <t>P8266</t>
        </is>
      </c>
      <c r="C56" s="17" t="inlineStr">
        <is>
          <t>cynthiapoole</t>
        </is>
      </c>
      <c r="D56" s="17" t="inlineStr">
        <is>
          <t>Zombie Rush</t>
        </is>
      </c>
      <c r="E56" s="17" t="inlineStr">
        <is>
          <t>PC</t>
        </is>
      </c>
      <c r="F56" s="17" t="inlineStr">
        <is>
          <t>East</t>
        </is>
      </c>
      <c r="G56" s="17" t="inlineStr">
        <is>
          <t>2024-12-19</t>
        </is>
      </c>
      <c r="H56" s="17" t="n">
        <v>108</v>
      </c>
      <c r="I56" s="17" t="n">
        <v>0</v>
      </c>
      <c r="J56" s="17" t="n"/>
      <c r="K56" s="17" t="inlineStr">
        <is>
          <t>Completed</t>
        </is>
      </c>
      <c r="L56" s="17" t="inlineStr">
        <is>
          <t>Free</t>
        </is>
      </c>
      <c r="M56" s="17" t="n">
        <v>35</v>
      </c>
      <c r="N56" s="17" t="inlineStr">
        <is>
          <t>No</t>
        </is>
      </c>
    </row>
    <row r="57">
      <c r="A57" s="17" t="inlineStr">
        <is>
          <t>S00053</t>
        </is>
      </c>
      <c r="B57" s="17" t="inlineStr">
        <is>
          <t>P9579</t>
        </is>
      </c>
      <c r="C57" s="17" t="inlineStr">
        <is>
          <t>richardsjessica</t>
        </is>
      </c>
      <c r="D57" s="17" t="inlineStr">
        <is>
          <t>SpeedX</t>
        </is>
      </c>
      <c r="E57" s="17" t="inlineStr">
        <is>
          <t>Console</t>
        </is>
      </c>
      <c r="F57" s="17" t="inlineStr">
        <is>
          <t>West</t>
        </is>
      </c>
      <c r="G57" s="17" t="inlineStr">
        <is>
          <t>2025-04-11</t>
        </is>
      </c>
      <c r="H57" s="17" t="n">
        <v>38</v>
      </c>
      <c r="I57" s="17" t="n">
        <v>0</v>
      </c>
      <c r="J57" s="17" t="n"/>
      <c r="K57" s="17" t="inlineStr">
        <is>
          <t>Completed</t>
        </is>
      </c>
      <c r="L57" s="17" t="inlineStr">
        <is>
          <t>Free</t>
        </is>
      </c>
      <c r="M57" s="17" t="n">
        <v>34</v>
      </c>
      <c r="N57" s="17" t="inlineStr">
        <is>
          <t>No</t>
        </is>
      </c>
    </row>
    <row r="58">
      <c r="A58" s="17" t="inlineStr">
        <is>
          <t>S00054</t>
        </is>
      </c>
      <c r="B58" s="17" t="inlineStr">
        <is>
          <t>P5714</t>
        </is>
      </c>
      <c r="C58" s="17" t="inlineStr">
        <is>
          <t>fforbes</t>
        </is>
      </c>
      <c r="D58" s="17" t="inlineStr">
        <is>
          <t>BattleZone</t>
        </is>
      </c>
      <c r="E58" s="17" t="inlineStr">
        <is>
          <t>PC</t>
        </is>
      </c>
      <c r="F58" s="17" t="inlineStr">
        <is>
          <t>West</t>
        </is>
      </c>
      <c r="G58" s="17" t="inlineStr">
        <is>
          <t>2025-03-11</t>
        </is>
      </c>
      <c r="H58" s="17" t="n">
        <v>136</v>
      </c>
      <c r="I58" s="17" t="n">
        <v>0</v>
      </c>
      <c r="J58" s="17" t="n"/>
      <c r="K58" s="17" t="inlineStr">
        <is>
          <t>Completed</t>
        </is>
      </c>
      <c r="L58" s="17" t="inlineStr">
        <is>
          <t>Free</t>
        </is>
      </c>
      <c r="M58" s="17" t="n">
        <v>11</v>
      </c>
      <c r="N58" s="17" t="inlineStr">
        <is>
          <t>No</t>
        </is>
      </c>
    </row>
    <row r="59">
      <c r="A59" s="17" t="inlineStr">
        <is>
          <t>S00055</t>
        </is>
      </c>
      <c r="B59" s="17" t="inlineStr">
        <is>
          <t>P4102</t>
        </is>
      </c>
      <c r="C59" s="17" t="inlineStr">
        <is>
          <t>odonnelljennifer</t>
        </is>
      </c>
      <c r="D59" s="17" t="inlineStr">
        <is>
          <t>BattleZone</t>
        </is>
      </c>
      <c r="E59" s="17" t="inlineStr">
        <is>
          <t>Mobile</t>
        </is>
      </c>
      <c r="F59" s="17" t="inlineStr">
        <is>
          <t>Central</t>
        </is>
      </c>
      <c r="G59" s="17" t="inlineStr">
        <is>
          <t>2025-06-06</t>
        </is>
      </c>
      <c r="H59" s="17" t="n">
        <v>20</v>
      </c>
      <c r="I59" s="17" t="n">
        <v>0</v>
      </c>
      <c r="J59" s="17" t="n"/>
      <c r="K59" s="17" t="inlineStr">
        <is>
          <t>Incomplete</t>
        </is>
      </c>
      <c r="L59" s="17" t="inlineStr">
        <is>
          <t>Free</t>
        </is>
      </c>
      <c r="M59" s="17" t="n">
        <v>49</v>
      </c>
      <c r="N59" s="17" t="inlineStr">
        <is>
          <t>No</t>
        </is>
      </c>
    </row>
    <row r="60">
      <c r="A60" s="17" t="inlineStr">
        <is>
          <t>S00056</t>
        </is>
      </c>
      <c r="B60" s="17" t="inlineStr">
        <is>
          <t>P1285</t>
        </is>
      </c>
      <c r="C60" s="17" t="inlineStr">
        <is>
          <t>amylong</t>
        </is>
      </c>
      <c r="D60" s="17" t="inlineStr">
        <is>
          <t>BattleZone</t>
        </is>
      </c>
      <c r="E60" s="17" t="inlineStr">
        <is>
          <t>Mobile</t>
        </is>
      </c>
      <c r="F60" s="17" t="inlineStr">
        <is>
          <t>North</t>
        </is>
      </c>
      <c r="G60" s="17" t="inlineStr">
        <is>
          <t>2025-05-11</t>
        </is>
      </c>
      <c r="H60" s="17" t="n">
        <v>117</v>
      </c>
      <c r="I60" s="17" t="n">
        <v>0</v>
      </c>
      <c r="J60" s="17" t="n"/>
      <c r="K60" s="17" t="inlineStr">
        <is>
          <t>Exited Early</t>
        </is>
      </c>
      <c r="L60" s="17" t="inlineStr">
        <is>
          <t>Free</t>
        </is>
      </c>
      <c r="M60" s="17" t="n">
        <v>11</v>
      </c>
      <c r="N60" s="17" t="inlineStr">
        <is>
          <t>No</t>
        </is>
      </c>
    </row>
    <row r="61">
      <c r="A61" s="17" t="inlineStr">
        <is>
          <t>S00057</t>
        </is>
      </c>
      <c r="B61" s="17" t="inlineStr">
        <is>
          <t>P7588</t>
        </is>
      </c>
      <c r="C61" s="17" t="inlineStr">
        <is>
          <t>usnyder</t>
        </is>
      </c>
      <c r="D61" s="17" t="inlineStr">
        <is>
          <t>BattleZone</t>
        </is>
      </c>
      <c r="E61" s="17" t="inlineStr">
        <is>
          <t>PC</t>
        </is>
      </c>
      <c r="F61" s="17" t="inlineStr">
        <is>
          <t>North</t>
        </is>
      </c>
      <c r="G61" s="17" t="inlineStr">
        <is>
          <t>2025-05-04</t>
        </is>
      </c>
      <c r="H61" s="17" t="n">
        <v>139</v>
      </c>
      <c r="I61" s="17" t="n">
        <v>0</v>
      </c>
      <c r="J61" s="17" t="n"/>
      <c r="K61" s="17" t="inlineStr">
        <is>
          <t>Completed</t>
        </is>
      </c>
      <c r="L61" s="17" t="inlineStr">
        <is>
          <t>Free</t>
        </is>
      </c>
      <c r="M61" s="17" t="n">
        <v>41</v>
      </c>
      <c r="N61" s="17" t="inlineStr">
        <is>
          <t>No</t>
        </is>
      </c>
    </row>
    <row r="62">
      <c r="A62" s="17" t="inlineStr">
        <is>
          <t>S00058</t>
        </is>
      </c>
      <c r="B62" s="17" t="inlineStr">
        <is>
          <t>P9514</t>
        </is>
      </c>
      <c r="C62" s="17" t="inlineStr">
        <is>
          <t>dianaburgess</t>
        </is>
      </c>
      <c r="D62" s="17" t="inlineStr">
        <is>
          <t>Zombie Rush</t>
        </is>
      </c>
      <c r="E62" s="17" t="inlineStr">
        <is>
          <t>Mobile</t>
        </is>
      </c>
      <c r="F62" s="17" t="inlineStr">
        <is>
          <t>East</t>
        </is>
      </c>
      <c r="G62" s="17" t="inlineStr">
        <is>
          <t>2025-04-09</t>
        </is>
      </c>
      <c r="H62" s="17" t="n">
        <v>19</v>
      </c>
      <c r="I62" s="17" t="n">
        <v>44.21</v>
      </c>
      <c r="J62" s="17" t="inlineStr">
        <is>
          <t>Battle Pass</t>
        </is>
      </c>
      <c r="K62" s="17" t="inlineStr">
        <is>
          <t>Completed</t>
        </is>
      </c>
      <c r="L62" s="17" t="inlineStr">
        <is>
          <t>Paid</t>
        </is>
      </c>
      <c r="M62" s="17" t="n">
        <v>24</v>
      </c>
      <c r="N62" s="17" t="inlineStr">
        <is>
          <t>Yes</t>
        </is>
      </c>
    </row>
    <row r="63">
      <c r="A63" s="17" t="inlineStr">
        <is>
          <t>S00059</t>
        </is>
      </c>
      <c r="B63" s="17" t="inlineStr">
        <is>
          <t>P1110</t>
        </is>
      </c>
      <c r="C63" s="17" t="inlineStr">
        <is>
          <t>joseph32</t>
        </is>
      </c>
      <c r="D63" s="17" t="inlineStr">
        <is>
          <t>BattleZone</t>
        </is>
      </c>
      <c r="E63" s="17" t="inlineStr">
        <is>
          <t>PC</t>
        </is>
      </c>
      <c r="F63" s="17" t="inlineStr">
        <is>
          <t>East</t>
        </is>
      </c>
      <c r="G63" s="17" t="inlineStr">
        <is>
          <t>2025-04-24</t>
        </is>
      </c>
      <c r="H63" s="17" t="n">
        <v>76</v>
      </c>
      <c r="I63" s="17" t="n">
        <v>0</v>
      </c>
      <c r="J63" s="17" t="n"/>
      <c r="K63" s="17" t="inlineStr">
        <is>
          <t>Completed</t>
        </is>
      </c>
      <c r="L63" s="17" t="inlineStr">
        <is>
          <t>Free</t>
        </is>
      </c>
      <c r="M63" s="17" t="n">
        <v>41</v>
      </c>
      <c r="N63" s="17" t="inlineStr">
        <is>
          <t>No</t>
        </is>
      </c>
    </row>
    <row r="64">
      <c r="A64" s="17" t="inlineStr">
        <is>
          <t>S00060</t>
        </is>
      </c>
      <c r="B64" s="17" t="inlineStr">
        <is>
          <t>P2205</t>
        </is>
      </c>
      <c r="C64" s="17" t="inlineStr">
        <is>
          <t>fstewart</t>
        </is>
      </c>
      <c r="D64" s="17" t="inlineStr">
        <is>
          <t>Empire Wars</t>
        </is>
      </c>
      <c r="E64" s="17" t="inlineStr">
        <is>
          <t>PC</t>
        </is>
      </c>
      <c r="F64" s="17" t="inlineStr">
        <is>
          <t>Central</t>
        </is>
      </c>
      <c r="G64" s="17" t="inlineStr">
        <is>
          <t>2025-04-20</t>
        </is>
      </c>
      <c r="H64" s="17" t="n">
        <v>153</v>
      </c>
      <c r="I64" s="17" t="n">
        <v>0</v>
      </c>
      <c r="J64" s="17" t="n"/>
      <c r="K64" s="17" t="inlineStr">
        <is>
          <t>Completed</t>
        </is>
      </c>
      <c r="L64" s="17" t="inlineStr">
        <is>
          <t>Free</t>
        </is>
      </c>
      <c r="M64" s="17" t="n">
        <v>2</v>
      </c>
      <c r="N64" s="17" t="inlineStr">
        <is>
          <t>Yes</t>
        </is>
      </c>
    </row>
    <row r="65">
      <c r="A65" s="17" t="inlineStr">
        <is>
          <t>S00061</t>
        </is>
      </c>
      <c r="B65" s="17" t="inlineStr">
        <is>
          <t>P7473</t>
        </is>
      </c>
      <c r="C65" s="17" t="inlineStr">
        <is>
          <t>sholmes</t>
        </is>
      </c>
      <c r="D65" s="17" t="inlineStr">
        <is>
          <t>SpeedX</t>
        </is>
      </c>
      <c r="E65" s="17" t="inlineStr">
        <is>
          <t>Console</t>
        </is>
      </c>
      <c r="F65" s="17" t="inlineStr">
        <is>
          <t>North</t>
        </is>
      </c>
      <c r="G65" s="17" t="inlineStr">
        <is>
          <t>2025-05-27</t>
        </is>
      </c>
      <c r="H65" s="17" t="n">
        <v>156</v>
      </c>
      <c r="I65" s="17" t="n">
        <v>0</v>
      </c>
      <c r="J65" s="17" t="n"/>
      <c r="K65" s="17" t="inlineStr">
        <is>
          <t>Completed</t>
        </is>
      </c>
      <c r="L65" s="17" t="inlineStr">
        <is>
          <t>Paid</t>
        </is>
      </c>
      <c r="M65" s="17" t="n">
        <v>50</v>
      </c>
      <c r="N65" s="17" t="inlineStr">
        <is>
          <t>Yes</t>
        </is>
      </c>
    </row>
    <row r="66">
      <c r="A66" s="17" t="inlineStr">
        <is>
          <t>S00062</t>
        </is>
      </c>
      <c r="B66" s="17" t="inlineStr">
        <is>
          <t>P1805</t>
        </is>
      </c>
      <c r="C66" s="17" t="inlineStr">
        <is>
          <t>charlesjohnson</t>
        </is>
      </c>
      <c r="D66" s="17" t="inlineStr">
        <is>
          <t>SpeedX</t>
        </is>
      </c>
      <c r="E66" s="17" t="inlineStr">
        <is>
          <t>Mobile</t>
        </is>
      </c>
      <c r="F66" s="17" t="inlineStr">
        <is>
          <t>West</t>
        </is>
      </c>
      <c r="G66" s="17" t="inlineStr">
        <is>
          <t>2025-03-23</t>
        </is>
      </c>
      <c r="H66" s="17" t="n">
        <v>153</v>
      </c>
      <c r="I66" s="17" t="n">
        <v>0</v>
      </c>
      <c r="J66" s="17" t="n"/>
      <c r="K66" s="17" t="inlineStr">
        <is>
          <t>Completed</t>
        </is>
      </c>
      <c r="L66" s="17" t="inlineStr">
        <is>
          <t>Paid</t>
        </is>
      </c>
      <c r="M66" s="17" t="n">
        <v>44</v>
      </c>
      <c r="N66" s="17" t="inlineStr">
        <is>
          <t>Yes</t>
        </is>
      </c>
    </row>
    <row r="67">
      <c r="A67" s="17" t="inlineStr">
        <is>
          <t>S00063</t>
        </is>
      </c>
      <c r="B67" s="17" t="inlineStr">
        <is>
          <t>P3641</t>
        </is>
      </c>
      <c r="C67" s="17" t="inlineStr">
        <is>
          <t>davischristopher</t>
        </is>
      </c>
      <c r="D67" s="17" t="inlineStr">
        <is>
          <t>Zombie Rush</t>
        </is>
      </c>
      <c r="E67" s="17" t="inlineStr">
        <is>
          <t>Console</t>
        </is>
      </c>
      <c r="F67" s="17" t="inlineStr">
        <is>
          <t>West</t>
        </is>
      </c>
      <c r="G67" s="17" t="inlineStr">
        <is>
          <t>2025-01-01</t>
        </is>
      </c>
      <c r="H67" s="17" t="n">
        <v>77</v>
      </c>
      <c r="I67" s="17" t="n">
        <v>39.88</v>
      </c>
      <c r="J67" s="17" t="inlineStr">
        <is>
          <t>Skins</t>
        </is>
      </c>
      <c r="K67" s="17" t="inlineStr">
        <is>
          <t>Completed</t>
        </is>
      </c>
      <c r="L67" s="17" t="inlineStr">
        <is>
          <t>Paid</t>
        </is>
      </c>
      <c r="M67" s="17" t="n">
        <v>25</v>
      </c>
      <c r="N67" s="17" t="inlineStr">
        <is>
          <t>No</t>
        </is>
      </c>
    </row>
    <row r="68">
      <c r="A68" s="17" t="inlineStr">
        <is>
          <t>S00064</t>
        </is>
      </c>
      <c r="B68" s="17" t="inlineStr">
        <is>
          <t>P6094</t>
        </is>
      </c>
      <c r="C68" s="17" t="inlineStr">
        <is>
          <t>jenniferarnold</t>
        </is>
      </c>
      <c r="D68" s="17" t="inlineStr">
        <is>
          <t>Zombie Rush</t>
        </is>
      </c>
      <c r="E68" s="17" t="inlineStr">
        <is>
          <t>PC</t>
        </is>
      </c>
      <c r="F68" s="17" t="inlineStr">
        <is>
          <t>South</t>
        </is>
      </c>
      <c r="G68" s="17" t="inlineStr">
        <is>
          <t>2025-06-10</t>
        </is>
      </c>
      <c r="H68" s="17" t="n">
        <v>81</v>
      </c>
      <c r="I68" s="17" t="n">
        <v>10.1</v>
      </c>
      <c r="J68" s="17" t="inlineStr">
        <is>
          <t>Subscriptions</t>
        </is>
      </c>
      <c r="K68" s="17" t="inlineStr">
        <is>
          <t>Crashed</t>
        </is>
      </c>
      <c r="L68" s="17" t="inlineStr">
        <is>
          <t>Paid</t>
        </is>
      </c>
      <c r="M68" s="17" t="n">
        <v>24</v>
      </c>
      <c r="N68" s="17" t="inlineStr">
        <is>
          <t>No</t>
        </is>
      </c>
    </row>
    <row r="69">
      <c r="A69" s="17" t="inlineStr">
        <is>
          <t>S00065</t>
        </is>
      </c>
      <c r="B69" s="17" t="inlineStr">
        <is>
          <t>P5717</t>
        </is>
      </c>
      <c r="C69" s="17" t="inlineStr">
        <is>
          <t>palmerashley</t>
        </is>
      </c>
      <c r="D69" s="17" t="inlineStr">
        <is>
          <t>Empire Wars</t>
        </is>
      </c>
      <c r="E69" s="17" t="inlineStr">
        <is>
          <t>PC</t>
        </is>
      </c>
      <c r="F69" s="17" t="inlineStr">
        <is>
          <t>East</t>
        </is>
      </c>
      <c r="G69" s="17" t="inlineStr">
        <is>
          <t>2025-02-25</t>
        </is>
      </c>
      <c r="H69" s="17" t="n">
        <v>7</v>
      </c>
      <c r="I69" s="17" t="n">
        <v>0</v>
      </c>
      <c r="J69" s="17" t="n"/>
      <c r="K69" s="17" t="inlineStr">
        <is>
          <t>Incomplete</t>
        </is>
      </c>
      <c r="L69" s="17" t="inlineStr">
        <is>
          <t>Free</t>
        </is>
      </c>
      <c r="M69" s="17" t="n">
        <v>32</v>
      </c>
      <c r="N69" s="17" t="inlineStr">
        <is>
          <t>No</t>
        </is>
      </c>
    </row>
    <row r="70">
      <c r="A70" s="17" t="inlineStr">
        <is>
          <t>S00066</t>
        </is>
      </c>
      <c r="B70" s="17" t="inlineStr">
        <is>
          <t>P2499</t>
        </is>
      </c>
      <c r="C70" s="17" t="inlineStr">
        <is>
          <t>mbowen</t>
        </is>
      </c>
      <c r="D70" s="17" t="inlineStr">
        <is>
          <t>Empire Wars</t>
        </is>
      </c>
      <c r="E70" s="17" t="inlineStr">
        <is>
          <t>PC</t>
        </is>
      </c>
      <c r="F70" s="17" t="inlineStr">
        <is>
          <t>Central</t>
        </is>
      </c>
      <c r="G70" s="17" t="inlineStr">
        <is>
          <t>2025-06-06</t>
        </is>
      </c>
      <c r="H70" s="17" t="n">
        <v>152</v>
      </c>
      <c r="I70" s="17" t="n">
        <v>0</v>
      </c>
      <c r="J70" s="17" t="n"/>
      <c r="K70" s="17" t="inlineStr">
        <is>
          <t>Completed</t>
        </is>
      </c>
      <c r="L70" s="17" t="inlineStr">
        <is>
          <t>Free</t>
        </is>
      </c>
      <c r="M70" s="17" t="n">
        <v>21</v>
      </c>
      <c r="N70" s="17" t="inlineStr">
        <is>
          <t>Yes</t>
        </is>
      </c>
    </row>
    <row r="71">
      <c r="A71" s="17" t="inlineStr">
        <is>
          <t>S00067</t>
        </is>
      </c>
      <c r="B71" s="17" t="inlineStr">
        <is>
          <t>P9667</t>
        </is>
      </c>
      <c r="C71" s="17" t="inlineStr">
        <is>
          <t>harrisonsteven</t>
        </is>
      </c>
      <c r="D71" s="17" t="inlineStr">
        <is>
          <t>SpeedX</t>
        </is>
      </c>
      <c r="E71" s="17" t="inlineStr">
        <is>
          <t>PC</t>
        </is>
      </c>
      <c r="F71" s="17" t="inlineStr">
        <is>
          <t>West</t>
        </is>
      </c>
      <c r="G71" s="17" t="inlineStr">
        <is>
          <t>2025-01-05</t>
        </is>
      </c>
      <c r="H71" s="17" t="n">
        <v>64</v>
      </c>
      <c r="I71" s="17" t="n">
        <v>0</v>
      </c>
      <c r="J71" s="17" t="n"/>
      <c r="K71" s="17" t="inlineStr">
        <is>
          <t>Exited Early</t>
        </is>
      </c>
      <c r="L71" s="17" t="inlineStr">
        <is>
          <t>Free</t>
        </is>
      </c>
      <c r="M71" s="17" t="n">
        <v>13</v>
      </c>
      <c r="N71" s="17" t="inlineStr">
        <is>
          <t>No</t>
        </is>
      </c>
    </row>
    <row r="72">
      <c r="A72" s="17" t="inlineStr">
        <is>
          <t>S00068</t>
        </is>
      </c>
      <c r="B72" s="17" t="inlineStr">
        <is>
          <t>P9995</t>
        </is>
      </c>
      <c r="C72" s="17" t="inlineStr">
        <is>
          <t>tinapreston</t>
        </is>
      </c>
      <c r="D72" s="17" t="inlineStr">
        <is>
          <t>BattleZone</t>
        </is>
      </c>
      <c r="E72" s="17" t="inlineStr">
        <is>
          <t>Console</t>
        </is>
      </c>
      <c r="F72" s="17" t="inlineStr">
        <is>
          <t>North</t>
        </is>
      </c>
      <c r="G72" s="17" t="inlineStr">
        <is>
          <t>2025-06-03</t>
        </is>
      </c>
      <c r="H72" s="17" t="n">
        <v>165</v>
      </c>
      <c r="I72" s="17" t="n">
        <v>0</v>
      </c>
      <c r="J72" s="17" t="n"/>
      <c r="K72" s="17" t="inlineStr">
        <is>
          <t>Completed</t>
        </is>
      </c>
      <c r="L72" s="17" t="inlineStr">
        <is>
          <t>Free</t>
        </is>
      </c>
      <c r="M72" s="17" t="n">
        <v>41</v>
      </c>
      <c r="N72" s="17" t="inlineStr">
        <is>
          <t>Yes</t>
        </is>
      </c>
    </row>
    <row r="73">
      <c r="A73" s="17" t="inlineStr">
        <is>
          <t>S00069</t>
        </is>
      </c>
      <c r="B73" s="17" t="inlineStr">
        <is>
          <t>P8527</t>
        </is>
      </c>
      <c r="C73" s="17" t="inlineStr">
        <is>
          <t>claudiasilva</t>
        </is>
      </c>
      <c r="D73" s="17" t="inlineStr">
        <is>
          <t>Empire Wars</t>
        </is>
      </c>
      <c r="E73" s="17" t="inlineStr">
        <is>
          <t>Console</t>
        </is>
      </c>
      <c r="F73" s="17" t="inlineStr">
        <is>
          <t>East</t>
        </is>
      </c>
      <c r="G73" s="17" t="inlineStr">
        <is>
          <t>2025-01-17</t>
        </is>
      </c>
      <c r="H73" s="17" t="n">
        <v>165</v>
      </c>
      <c r="I73" s="17" t="n">
        <v>0</v>
      </c>
      <c r="J73" s="17" t="n"/>
      <c r="K73" s="17" t="inlineStr">
        <is>
          <t>Completed</t>
        </is>
      </c>
      <c r="L73" s="17" t="inlineStr">
        <is>
          <t>Free</t>
        </is>
      </c>
      <c r="M73" s="17" t="n">
        <v>15</v>
      </c>
      <c r="N73" s="17" t="inlineStr">
        <is>
          <t>Yes</t>
        </is>
      </c>
    </row>
    <row r="74">
      <c r="A74" s="17" t="inlineStr">
        <is>
          <t>S00070</t>
        </is>
      </c>
      <c r="B74" s="17" t="inlineStr">
        <is>
          <t>P6322</t>
        </is>
      </c>
      <c r="C74" s="17" t="inlineStr">
        <is>
          <t>noah21</t>
        </is>
      </c>
      <c r="D74" s="17" t="inlineStr">
        <is>
          <t>Clash of Realms</t>
        </is>
      </c>
      <c r="E74" s="17" t="inlineStr">
        <is>
          <t>PC</t>
        </is>
      </c>
      <c r="F74" s="17" t="inlineStr">
        <is>
          <t>West</t>
        </is>
      </c>
      <c r="G74" s="17" t="inlineStr">
        <is>
          <t>2025-01-25</t>
        </is>
      </c>
      <c r="H74" s="17" t="n">
        <v>79</v>
      </c>
      <c r="I74" s="17" t="n">
        <v>0</v>
      </c>
      <c r="J74" s="17" t="n"/>
      <c r="K74" s="17" t="inlineStr">
        <is>
          <t>Exited Early</t>
        </is>
      </c>
      <c r="L74" s="17" t="inlineStr">
        <is>
          <t>Free</t>
        </is>
      </c>
      <c r="M74" s="17" t="n">
        <v>18</v>
      </c>
      <c r="N74" s="17" t="inlineStr">
        <is>
          <t>No</t>
        </is>
      </c>
    </row>
    <row r="75">
      <c r="A75" s="17" t="inlineStr">
        <is>
          <t>S00071</t>
        </is>
      </c>
      <c r="B75" s="17" t="inlineStr">
        <is>
          <t>P8019</t>
        </is>
      </c>
      <c r="C75" s="17" t="inlineStr">
        <is>
          <t>nwatkins</t>
        </is>
      </c>
      <c r="D75" s="17" t="inlineStr">
        <is>
          <t>Empire Wars</t>
        </is>
      </c>
      <c r="E75" s="17" t="inlineStr">
        <is>
          <t>PC</t>
        </is>
      </c>
      <c r="F75" s="17" t="inlineStr">
        <is>
          <t>Central</t>
        </is>
      </c>
      <c r="G75" s="17" t="inlineStr">
        <is>
          <t>2025-06-12</t>
        </is>
      </c>
      <c r="H75" s="17" t="n">
        <v>81</v>
      </c>
      <c r="I75" s="17" t="n">
        <v>0</v>
      </c>
      <c r="J75" s="17" t="n"/>
      <c r="K75" s="17" t="inlineStr">
        <is>
          <t>Exited Early</t>
        </is>
      </c>
      <c r="L75" s="17" t="inlineStr">
        <is>
          <t>Free</t>
        </is>
      </c>
      <c r="M75" s="17" t="n">
        <v>37</v>
      </c>
      <c r="N75" s="17" t="inlineStr">
        <is>
          <t>No</t>
        </is>
      </c>
    </row>
    <row r="76">
      <c r="A76" s="17" t="inlineStr">
        <is>
          <t>S00072</t>
        </is>
      </c>
      <c r="B76" s="17" t="inlineStr">
        <is>
          <t>P3539</t>
        </is>
      </c>
      <c r="C76" s="17" t="inlineStr">
        <is>
          <t>martinderrick</t>
        </is>
      </c>
      <c r="D76" s="17" t="inlineStr">
        <is>
          <t>Zombie Rush</t>
        </is>
      </c>
      <c r="E76" s="17" t="inlineStr">
        <is>
          <t>Console</t>
        </is>
      </c>
      <c r="F76" s="17" t="inlineStr">
        <is>
          <t>South</t>
        </is>
      </c>
      <c r="G76" s="17" t="inlineStr">
        <is>
          <t>2025-01-02</t>
        </is>
      </c>
      <c r="H76" s="17" t="n">
        <v>84</v>
      </c>
      <c r="I76" s="17" t="n">
        <v>0</v>
      </c>
      <c r="J76" s="17" t="n"/>
      <c r="K76" s="17" t="inlineStr">
        <is>
          <t>Completed</t>
        </is>
      </c>
      <c r="L76" s="17" t="inlineStr">
        <is>
          <t>Free</t>
        </is>
      </c>
      <c r="M76" s="17" t="n">
        <v>11</v>
      </c>
      <c r="N76" s="17" t="inlineStr">
        <is>
          <t>No</t>
        </is>
      </c>
    </row>
    <row r="77">
      <c r="A77" s="17" t="inlineStr">
        <is>
          <t>S00073</t>
        </is>
      </c>
      <c r="B77" s="17" t="inlineStr">
        <is>
          <t>P8666</t>
        </is>
      </c>
      <c r="C77" s="17" t="inlineStr">
        <is>
          <t>craiggail</t>
        </is>
      </c>
      <c r="D77" s="17" t="inlineStr">
        <is>
          <t>SpeedX</t>
        </is>
      </c>
      <c r="E77" s="17" t="inlineStr">
        <is>
          <t>Mobile</t>
        </is>
      </c>
      <c r="F77" s="17" t="inlineStr">
        <is>
          <t>North</t>
        </is>
      </c>
      <c r="G77" s="17" t="inlineStr">
        <is>
          <t>2025-05-05</t>
        </is>
      </c>
      <c r="H77" s="17" t="n">
        <v>79</v>
      </c>
      <c r="I77" s="17" t="n">
        <v>0</v>
      </c>
      <c r="J77" s="17" t="n"/>
      <c r="K77" s="17" t="inlineStr">
        <is>
          <t>Completed</t>
        </is>
      </c>
      <c r="L77" s="17" t="inlineStr">
        <is>
          <t>Free</t>
        </is>
      </c>
      <c r="M77" s="17" t="n">
        <v>49</v>
      </c>
      <c r="N77" s="17" t="inlineStr">
        <is>
          <t>No</t>
        </is>
      </c>
    </row>
    <row r="78">
      <c r="A78" s="17" t="inlineStr">
        <is>
          <t>S00074</t>
        </is>
      </c>
      <c r="B78" s="17" t="inlineStr">
        <is>
          <t>P8845</t>
        </is>
      </c>
      <c r="C78" s="17" t="inlineStr">
        <is>
          <t>connerkevin</t>
        </is>
      </c>
      <c r="D78" s="17" t="inlineStr">
        <is>
          <t>BattleZone</t>
        </is>
      </c>
      <c r="E78" s="17" t="inlineStr">
        <is>
          <t>Console</t>
        </is>
      </c>
      <c r="F78" s="17" t="inlineStr">
        <is>
          <t>North</t>
        </is>
      </c>
      <c r="G78" s="17" t="inlineStr">
        <is>
          <t>2025-01-08</t>
        </is>
      </c>
      <c r="H78" s="17" t="n">
        <v>147</v>
      </c>
      <c r="I78" s="17" t="n">
        <v>0</v>
      </c>
      <c r="J78" s="17" t="n"/>
      <c r="K78" s="17" t="inlineStr">
        <is>
          <t>Completed</t>
        </is>
      </c>
      <c r="L78" s="17" t="inlineStr">
        <is>
          <t>Free</t>
        </is>
      </c>
      <c r="M78" s="17" t="n">
        <v>14</v>
      </c>
      <c r="N78" s="17" t="inlineStr">
        <is>
          <t>No</t>
        </is>
      </c>
    </row>
    <row r="79">
      <c r="A79" s="17" t="inlineStr">
        <is>
          <t>S00075</t>
        </is>
      </c>
      <c r="B79" s="17" t="inlineStr">
        <is>
          <t>P3222</t>
        </is>
      </c>
      <c r="C79" s="17" t="inlineStr">
        <is>
          <t>fmayer</t>
        </is>
      </c>
      <c r="D79" s="17" t="inlineStr">
        <is>
          <t>Empire Wars</t>
        </is>
      </c>
      <c r="E79" s="17" t="inlineStr">
        <is>
          <t>Console</t>
        </is>
      </c>
      <c r="F79" s="17" t="inlineStr">
        <is>
          <t>West</t>
        </is>
      </c>
      <c r="G79" s="17" t="inlineStr">
        <is>
          <t>2025-04-03</t>
        </is>
      </c>
      <c r="H79" s="17" t="n">
        <v>70</v>
      </c>
      <c r="I79" s="17" t="n">
        <v>0</v>
      </c>
      <c r="J79" s="17" t="n"/>
      <c r="K79" s="17" t="inlineStr">
        <is>
          <t>Completed</t>
        </is>
      </c>
      <c r="L79" s="17" t="inlineStr">
        <is>
          <t>Free</t>
        </is>
      </c>
      <c r="M79" s="17" t="n">
        <v>12</v>
      </c>
      <c r="N79" s="17" t="inlineStr">
        <is>
          <t>No</t>
        </is>
      </c>
    </row>
    <row r="80">
      <c r="A80" s="17" t="inlineStr">
        <is>
          <t>S00076</t>
        </is>
      </c>
      <c r="B80" s="17" t="inlineStr">
        <is>
          <t>P1269</t>
        </is>
      </c>
      <c r="C80" s="17" t="inlineStr">
        <is>
          <t>bryantdawn</t>
        </is>
      </c>
      <c r="D80" s="17" t="inlineStr">
        <is>
          <t>SpeedX</t>
        </is>
      </c>
      <c r="E80" s="17" t="inlineStr">
        <is>
          <t>PC</t>
        </is>
      </c>
      <c r="F80" s="17" t="inlineStr">
        <is>
          <t>East</t>
        </is>
      </c>
      <c r="G80" s="17" t="inlineStr">
        <is>
          <t>2025-06-09</t>
        </is>
      </c>
      <c r="H80" s="17" t="n">
        <v>33</v>
      </c>
      <c r="I80" s="17" t="n">
        <v>16.41</v>
      </c>
      <c r="J80" s="17" t="inlineStr">
        <is>
          <t>Boosters</t>
        </is>
      </c>
      <c r="K80" s="17" t="inlineStr">
        <is>
          <t>Incomplete</t>
        </is>
      </c>
      <c r="L80" s="17" t="inlineStr">
        <is>
          <t>Paid</t>
        </is>
      </c>
      <c r="M80" s="17" t="n">
        <v>30</v>
      </c>
      <c r="N80" s="17" t="inlineStr">
        <is>
          <t>No</t>
        </is>
      </c>
    </row>
    <row r="81">
      <c r="A81" s="17" t="inlineStr">
        <is>
          <t>S00077</t>
        </is>
      </c>
      <c r="B81" s="17" t="inlineStr">
        <is>
          <t>P6534</t>
        </is>
      </c>
      <c r="C81" s="17" t="inlineStr">
        <is>
          <t>lindsay74</t>
        </is>
      </c>
      <c r="D81" s="17" t="inlineStr">
        <is>
          <t>SpeedX</t>
        </is>
      </c>
      <c r="E81" s="17" t="inlineStr">
        <is>
          <t>PC</t>
        </is>
      </c>
      <c r="F81" s="17" t="inlineStr">
        <is>
          <t>West</t>
        </is>
      </c>
      <c r="G81" s="17" t="inlineStr">
        <is>
          <t>2025-02-04</t>
        </is>
      </c>
      <c r="H81" s="17" t="n">
        <v>128</v>
      </c>
      <c r="I81" s="17" t="n">
        <v>0</v>
      </c>
      <c r="J81" s="17" t="n"/>
      <c r="K81" s="17" t="inlineStr">
        <is>
          <t>Incomplete</t>
        </is>
      </c>
      <c r="L81" s="17" t="inlineStr">
        <is>
          <t>Free</t>
        </is>
      </c>
      <c r="M81" s="17" t="n">
        <v>40</v>
      </c>
      <c r="N81" s="17" t="inlineStr">
        <is>
          <t>No</t>
        </is>
      </c>
    </row>
    <row r="82">
      <c r="A82" s="17" t="inlineStr">
        <is>
          <t>S00078</t>
        </is>
      </c>
      <c r="B82" s="17" t="inlineStr">
        <is>
          <t>P1662</t>
        </is>
      </c>
      <c r="C82" s="17" t="inlineStr">
        <is>
          <t>ehill</t>
        </is>
      </c>
      <c r="D82" s="17" t="inlineStr">
        <is>
          <t>SpeedX</t>
        </is>
      </c>
      <c r="E82" s="17" t="inlineStr">
        <is>
          <t>Console</t>
        </is>
      </c>
      <c r="F82" s="17" t="inlineStr">
        <is>
          <t>Central</t>
        </is>
      </c>
      <c r="G82" s="17" t="inlineStr">
        <is>
          <t>2025-06-07</t>
        </is>
      </c>
      <c r="H82" s="17" t="n">
        <v>28</v>
      </c>
      <c r="I82" s="17" t="n">
        <v>0</v>
      </c>
      <c r="J82" s="17" t="n"/>
      <c r="K82" s="17" t="inlineStr">
        <is>
          <t>Completed</t>
        </is>
      </c>
      <c r="L82" s="17" t="inlineStr">
        <is>
          <t>Free</t>
        </is>
      </c>
      <c r="M82" s="17" t="n">
        <v>4</v>
      </c>
      <c r="N82" s="17" t="inlineStr">
        <is>
          <t>No</t>
        </is>
      </c>
    </row>
    <row r="83">
      <c r="A83" s="17" t="inlineStr">
        <is>
          <t>S00079</t>
        </is>
      </c>
      <c r="B83" s="17" t="inlineStr">
        <is>
          <t>P9765</t>
        </is>
      </c>
      <c r="C83" s="17" t="inlineStr">
        <is>
          <t>hannah41</t>
        </is>
      </c>
      <c r="D83" s="17" t="inlineStr">
        <is>
          <t>SpeedX</t>
        </is>
      </c>
      <c r="E83" s="17" t="inlineStr">
        <is>
          <t>PC</t>
        </is>
      </c>
      <c r="F83" s="17" t="inlineStr">
        <is>
          <t>North</t>
        </is>
      </c>
      <c r="G83" s="17" t="inlineStr">
        <is>
          <t>2025-03-27</t>
        </is>
      </c>
      <c r="H83" s="17" t="n">
        <v>112</v>
      </c>
      <c r="I83" s="17" t="n">
        <v>0</v>
      </c>
      <c r="J83" s="17" t="n"/>
      <c r="K83" s="17" t="inlineStr">
        <is>
          <t>Completed</t>
        </is>
      </c>
      <c r="L83" s="17" t="inlineStr">
        <is>
          <t>Free</t>
        </is>
      </c>
      <c r="M83" s="17" t="n">
        <v>21</v>
      </c>
      <c r="N83" s="17" t="inlineStr">
        <is>
          <t>No</t>
        </is>
      </c>
    </row>
    <row r="84">
      <c r="A84" s="17" t="inlineStr">
        <is>
          <t>S00080</t>
        </is>
      </c>
      <c r="B84" s="17" t="inlineStr">
        <is>
          <t>P2463</t>
        </is>
      </c>
      <c r="C84" s="17" t="inlineStr">
        <is>
          <t>bentonashley</t>
        </is>
      </c>
      <c r="D84" s="17" t="inlineStr">
        <is>
          <t>SpeedX</t>
        </is>
      </c>
      <c r="E84" s="17" t="inlineStr">
        <is>
          <t>Mobile</t>
        </is>
      </c>
      <c r="F84" s="17" t="inlineStr">
        <is>
          <t>South</t>
        </is>
      </c>
      <c r="G84" s="17" t="inlineStr">
        <is>
          <t>2025-05-02</t>
        </is>
      </c>
      <c r="H84" s="17" t="n">
        <v>175</v>
      </c>
      <c r="I84" s="17" t="n">
        <v>27.19</v>
      </c>
      <c r="J84" s="17" t="inlineStr">
        <is>
          <t>Skins</t>
        </is>
      </c>
      <c r="K84" s="17" t="inlineStr">
        <is>
          <t>Completed</t>
        </is>
      </c>
      <c r="L84" s="17" t="inlineStr">
        <is>
          <t>Paid</t>
        </is>
      </c>
      <c r="M84" s="17" t="n">
        <v>1</v>
      </c>
      <c r="N84" s="17" t="inlineStr">
        <is>
          <t>Yes</t>
        </is>
      </c>
    </row>
    <row r="85">
      <c r="A85" s="17" t="inlineStr">
        <is>
          <t>S00081</t>
        </is>
      </c>
      <c r="B85" s="17" t="inlineStr">
        <is>
          <t>P3235</t>
        </is>
      </c>
      <c r="C85" s="17" t="inlineStr">
        <is>
          <t>kellyhill</t>
        </is>
      </c>
      <c r="D85" s="17" t="inlineStr">
        <is>
          <t>Clash of Realms</t>
        </is>
      </c>
      <c r="E85" s="17" t="inlineStr">
        <is>
          <t>PC</t>
        </is>
      </c>
      <c r="F85" s="17" t="inlineStr">
        <is>
          <t>Central</t>
        </is>
      </c>
      <c r="G85" s="17" t="inlineStr">
        <is>
          <t>2025-06-01</t>
        </is>
      </c>
      <c r="H85" s="17" t="n">
        <v>60</v>
      </c>
      <c r="I85" s="17" t="n">
        <v>0</v>
      </c>
      <c r="J85" s="17" t="n"/>
      <c r="K85" s="17" t="inlineStr">
        <is>
          <t>Completed</t>
        </is>
      </c>
      <c r="L85" s="17" t="inlineStr">
        <is>
          <t>Free</t>
        </is>
      </c>
      <c r="M85" s="17" t="n">
        <v>44</v>
      </c>
      <c r="N85" s="17" t="inlineStr">
        <is>
          <t>No</t>
        </is>
      </c>
    </row>
    <row r="86">
      <c r="A86" s="17" t="inlineStr">
        <is>
          <t>S00082</t>
        </is>
      </c>
      <c r="B86" s="17" t="inlineStr">
        <is>
          <t>P7193</t>
        </is>
      </c>
      <c r="C86" s="17" t="inlineStr">
        <is>
          <t>tlloyd</t>
        </is>
      </c>
      <c r="D86" s="17" t="inlineStr">
        <is>
          <t>Zombie Rush</t>
        </is>
      </c>
      <c r="E86" s="17" t="inlineStr">
        <is>
          <t>PC</t>
        </is>
      </c>
      <c r="F86" s="17" t="inlineStr">
        <is>
          <t>South</t>
        </is>
      </c>
      <c r="G86" s="17" t="inlineStr">
        <is>
          <t>2025-03-23</t>
        </is>
      </c>
      <c r="H86" s="17" t="n">
        <v>144</v>
      </c>
      <c r="I86" s="17" t="n">
        <v>0</v>
      </c>
      <c r="J86" s="17" t="n"/>
      <c r="K86" s="17" t="inlineStr">
        <is>
          <t>Completed</t>
        </is>
      </c>
      <c r="L86" s="17" t="inlineStr">
        <is>
          <t>Free</t>
        </is>
      </c>
      <c r="M86" s="17" t="n">
        <v>35</v>
      </c>
      <c r="N86" s="17" t="inlineStr">
        <is>
          <t>No</t>
        </is>
      </c>
    </row>
    <row r="87">
      <c r="A87" s="17" t="inlineStr">
        <is>
          <t>S00083</t>
        </is>
      </c>
      <c r="B87" s="17" t="inlineStr">
        <is>
          <t>P1366</t>
        </is>
      </c>
      <c r="C87" s="17" t="inlineStr">
        <is>
          <t>robinatkinson</t>
        </is>
      </c>
      <c r="D87" s="17" t="inlineStr">
        <is>
          <t>SpeedX</t>
        </is>
      </c>
      <c r="E87" s="17" t="inlineStr">
        <is>
          <t>PC</t>
        </is>
      </c>
      <c r="F87" s="17" t="inlineStr">
        <is>
          <t>East</t>
        </is>
      </c>
      <c r="G87" s="17" t="inlineStr">
        <is>
          <t>2025-05-01</t>
        </is>
      </c>
      <c r="H87" s="17" t="n">
        <v>47</v>
      </c>
      <c r="I87" s="17" t="n">
        <v>0</v>
      </c>
      <c r="J87" s="17" t="n"/>
      <c r="K87" s="17" t="inlineStr">
        <is>
          <t>Crashed</t>
        </is>
      </c>
      <c r="L87" s="17" t="inlineStr">
        <is>
          <t>Free</t>
        </is>
      </c>
      <c r="M87" s="17" t="n">
        <v>50</v>
      </c>
      <c r="N87" s="17" t="inlineStr">
        <is>
          <t>No</t>
        </is>
      </c>
    </row>
    <row r="88">
      <c r="A88" s="17" t="inlineStr">
        <is>
          <t>S00084</t>
        </is>
      </c>
      <c r="B88" s="17" t="inlineStr">
        <is>
          <t>P3144</t>
        </is>
      </c>
      <c r="C88" s="17" t="inlineStr">
        <is>
          <t>karen96</t>
        </is>
      </c>
      <c r="D88" s="17" t="inlineStr">
        <is>
          <t>Clash of Realms</t>
        </is>
      </c>
      <c r="E88" s="17" t="inlineStr">
        <is>
          <t>Mobile</t>
        </is>
      </c>
      <c r="F88" s="17" t="inlineStr">
        <is>
          <t>South</t>
        </is>
      </c>
      <c r="G88" s="17" t="inlineStr">
        <is>
          <t>2025-01-20</t>
        </is>
      </c>
      <c r="H88" s="17" t="n">
        <v>53</v>
      </c>
      <c r="I88" s="17" t="n">
        <v>0</v>
      </c>
      <c r="J88" s="17" t="n"/>
      <c r="K88" s="17" t="inlineStr">
        <is>
          <t>Completed</t>
        </is>
      </c>
      <c r="L88" s="17" t="inlineStr">
        <is>
          <t>Free</t>
        </is>
      </c>
      <c r="M88" s="17" t="n">
        <v>4</v>
      </c>
      <c r="N88" s="17" t="inlineStr">
        <is>
          <t>No</t>
        </is>
      </c>
    </row>
    <row r="89">
      <c r="A89" s="17" t="inlineStr">
        <is>
          <t>S00085</t>
        </is>
      </c>
      <c r="B89" s="17" t="inlineStr">
        <is>
          <t>P2977</t>
        </is>
      </c>
      <c r="C89" s="17" t="inlineStr">
        <is>
          <t>mark79</t>
        </is>
      </c>
      <c r="D89" s="17" t="inlineStr">
        <is>
          <t>Empire Wars</t>
        </is>
      </c>
      <c r="E89" s="17" t="inlineStr">
        <is>
          <t>Console</t>
        </is>
      </c>
      <c r="F89" s="17" t="inlineStr">
        <is>
          <t>East</t>
        </is>
      </c>
      <c r="G89" s="17" t="inlineStr">
        <is>
          <t>2025-04-09</t>
        </is>
      </c>
      <c r="H89" s="17" t="n">
        <v>43</v>
      </c>
      <c r="I89" s="17" t="n">
        <v>0</v>
      </c>
      <c r="J89" s="17" t="n"/>
      <c r="K89" s="17" t="inlineStr">
        <is>
          <t>Completed</t>
        </is>
      </c>
      <c r="L89" s="17" t="inlineStr">
        <is>
          <t>Free</t>
        </is>
      </c>
      <c r="M89" s="17" t="n">
        <v>20</v>
      </c>
      <c r="N89" s="17" t="inlineStr">
        <is>
          <t>No</t>
        </is>
      </c>
    </row>
    <row r="90">
      <c r="A90" s="17" t="inlineStr">
        <is>
          <t>S00086</t>
        </is>
      </c>
      <c r="B90" s="17" t="inlineStr">
        <is>
          <t>P8703</t>
        </is>
      </c>
      <c r="C90" s="17" t="inlineStr">
        <is>
          <t>wayne88</t>
        </is>
      </c>
      <c r="D90" s="17" t="inlineStr">
        <is>
          <t>BattleZone</t>
        </is>
      </c>
      <c r="E90" s="17" t="inlineStr">
        <is>
          <t>PC</t>
        </is>
      </c>
      <c r="F90" s="17" t="inlineStr">
        <is>
          <t>South</t>
        </is>
      </c>
      <c r="G90" s="17" t="inlineStr">
        <is>
          <t>2025-02-01</t>
        </is>
      </c>
      <c r="H90" s="17" t="n">
        <v>11</v>
      </c>
      <c r="I90" s="17" t="n">
        <v>0</v>
      </c>
      <c r="J90" s="17" t="n"/>
      <c r="K90" s="17" t="inlineStr">
        <is>
          <t>Crashed</t>
        </is>
      </c>
      <c r="L90" s="17" t="inlineStr">
        <is>
          <t>Free</t>
        </is>
      </c>
      <c r="M90" s="17" t="n">
        <v>18</v>
      </c>
      <c r="N90" s="17" t="inlineStr">
        <is>
          <t>No</t>
        </is>
      </c>
    </row>
    <row r="91">
      <c r="A91" s="17" t="inlineStr">
        <is>
          <t>S00087</t>
        </is>
      </c>
      <c r="B91" s="17" t="inlineStr">
        <is>
          <t>P9792</t>
        </is>
      </c>
      <c r="C91" s="17" t="inlineStr">
        <is>
          <t>jack75</t>
        </is>
      </c>
      <c r="D91" s="17" t="inlineStr">
        <is>
          <t>BattleZone</t>
        </is>
      </c>
      <c r="E91" s="17" t="inlineStr">
        <is>
          <t>Console</t>
        </is>
      </c>
      <c r="F91" s="17" t="inlineStr">
        <is>
          <t>South</t>
        </is>
      </c>
      <c r="G91" s="17" t="inlineStr">
        <is>
          <t>2025-03-03</t>
        </is>
      </c>
      <c r="H91" s="17" t="n">
        <v>100</v>
      </c>
      <c r="I91" s="17" t="n">
        <v>0</v>
      </c>
      <c r="J91" s="17" t="n"/>
      <c r="K91" s="17" t="inlineStr">
        <is>
          <t>Completed</t>
        </is>
      </c>
      <c r="L91" s="17" t="inlineStr">
        <is>
          <t>Free</t>
        </is>
      </c>
      <c r="M91" s="17" t="n">
        <v>50</v>
      </c>
      <c r="N91" s="17" t="inlineStr">
        <is>
          <t>No</t>
        </is>
      </c>
    </row>
    <row r="92">
      <c r="A92" s="17" t="inlineStr">
        <is>
          <t>S00088</t>
        </is>
      </c>
      <c r="B92" s="17" t="inlineStr">
        <is>
          <t>P5000</t>
        </is>
      </c>
      <c r="C92" s="17" t="inlineStr">
        <is>
          <t>shenderson</t>
        </is>
      </c>
      <c r="D92" s="17" t="inlineStr">
        <is>
          <t>SpeedX</t>
        </is>
      </c>
      <c r="E92" s="17" t="inlineStr">
        <is>
          <t>PC</t>
        </is>
      </c>
      <c r="F92" s="17" t="inlineStr">
        <is>
          <t>North</t>
        </is>
      </c>
      <c r="G92" s="17" t="inlineStr">
        <is>
          <t>2025-02-27</t>
        </is>
      </c>
      <c r="H92" s="17" t="n">
        <v>54</v>
      </c>
      <c r="I92" s="17" t="n">
        <v>35.79</v>
      </c>
      <c r="J92" s="17" t="inlineStr">
        <is>
          <t>Skins</t>
        </is>
      </c>
      <c r="K92" s="17" t="inlineStr">
        <is>
          <t>Completed</t>
        </is>
      </c>
      <c r="L92" s="17" t="inlineStr">
        <is>
          <t>Paid</t>
        </is>
      </c>
      <c r="M92" s="17" t="n">
        <v>42</v>
      </c>
      <c r="N92" s="17" t="inlineStr">
        <is>
          <t>No</t>
        </is>
      </c>
    </row>
    <row r="93">
      <c r="A93" s="17" t="inlineStr">
        <is>
          <t>S00089</t>
        </is>
      </c>
      <c r="B93" s="17" t="inlineStr">
        <is>
          <t>P5536</t>
        </is>
      </c>
      <c r="C93" s="17" t="inlineStr">
        <is>
          <t>manderson</t>
        </is>
      </c>
      <c r="D93" s="17" t="inlineStr">
        <is>
          <t>Zombie Rush</t>
        </is>
      </c>
      <c r="E93" s="17" t="inlineStr">
        <is>
          <t>Mobile</t>
        </is>
      </c>
      <c r="F93" s="17" t="inlineStr">
        <is>
          <t>East</t>
        </is>
      </c>
      <c r="G93" s="17" t="inlineStr">
        <is>
          <t>2024-12-25</t>
        </is>
      </c>
      <c r="H93" s="17" t="n">
        <v>92</v>
      </c>
      <c r="I93" s="17" t="n">
        <v>0</v>
      </c>
      <c r="J93" s="17" t="n"/>
      <c r="K93" s="17" t="inlineStr">
        <is>
          <t>Incomplete</t>
        </is>
      </c>
      <c r="L93" s="17" t="inlineStr">
        <is>
          <t>Free</t>
        </is>
      </c>
      <c r="M93" s="17" t="n">
        <v>21</v>
      </c>
      <c r="N93" s="17" t="inlineStr">
        <is>
          <t>No</t>
        </is>
      </c>
    </row>
    <row r="94">
      <c r="A94" s="17" t="inlineStr">
        <is>
          <t>S00090</t>
        </is>
      </c>
      <c r="B94" s="17" t="inlineStr">
        <is>
          <t>P3420</t>
        </is>
      </c>
      <c r="C94" s="17" t="inlineStr">
        <is>
          <t>boylejeffrey</t>
        </is>
      </c>
      <c r="D94" s="17" t="inlineStr">
        <is>
          <t>Empire Wars</t>
        </is>
      </c>
      <c r="E94" s="17" t="inlineStr">
        <is>
          <t>Mobile</t>
        </is>
      </c>
      <c r="F94" s="17" t="inlineStr">
        <is>
          <t>North-East</t>
        </is>
      </c>
      <c r="G94" s="17" t="inlineStr">
        <is>
          <t>2025-01-04</t>
        </is>
      </c>
      <c r="H94" s="17" t="n">
        <v>115</v>
      </c>
      <c r="I94" s="17" t="n">
        <v>0</v>
      </c>
      <c r="J94" s="17" t="n"/>
      <c r="K94" s="17" t="inlineStr">
        <is>
          <t>Completed</t>
        </is>
      </c>
      <c r="L94" s="17" t="inlineStr">
        <is>
          <t>Free</t>
        </is>
      </c>
      <c r="M94" s="17" t="n">
        <v>17</v>
      </c>
      <c r="N94" s="17" t="inlineStr">
        <is>
          <t>No</t>
        </is>
      </c>
    </row>
    <row r="95">
      <c r="A95" s="17" t="inlineStr">
        <is>
          <t>S00091</t>
        </is>
      </c>
      <c r="B95" s="17" t="inlineStr">
        <is>
          <t>P6128</t>
        </is>
      </c>
      <c r="C95" s="17" t="inlineStr">
        <is>
          <t>justinvargas</t>
        </is>
      </c>
      <c r="D95" s="17" t="inlineStr">
        <is>
          <t>Clash of Realms</t>
        </is>
      </c>
      <c r="E95" s="17" t="inlineStr">
        <is>
          <t>Console</t>
        </is>
      </c>
      <c r="F95" s="17" t="inlineStr">
        <is>
          <t>West</t>
        </is>
      </c>
      <c r="G95" s="17" t="inlineStr">
        <is>
          <t>2025-06-01</t>
        </is>
      </c>
      <c r="H95" s="17" t="n">
        <v>76</v>
      </c>
      <c r="I95" s="17" t="n">
        <v>0</v>
      </c>
      <c r="J95" s="17" t="n"/>
      <c r="K95" s="17" t="inlineStr">
        <is>
          <t>Completed</t>
        </is>
      </c>
      <c r="L95" s="17" t="inlineStr">
        <is>
          <t>Free</t>
        </is>
      </c>
      <c r="M95" s="17" t="n">
        <v>44</v>
      </c>
      <c r="N95" s="17" t="inlineStr">
        <is>
          <t>No</t>
        </is>
      </c>
    </row>
    <row r="96">
      <c r="A96" s="17" t="inlineStr">
        <is>
          <t>S00092</t>
        </is>
      </c>
      <c r="B96" s="17" t="inlineStr">
        <is>
          <t>P2205</t>
        </is>
      </c>
      <c r="C96" s="17" t="inlineStr">
        <is>
          <t>smullins</t>
        </is>
      </c>
      <c r="D96" s="17" t="inlineStr">
        <is>
          <t>BattleZone</t>
        </is>
      </c>
      <c r="E96" s="17" t="inlineStr">
        <is>
          <t>Console</t>
        </is>
      </c>
      <c r="F96" s="17" t="inlineStr">
        <is>
          <t>South</t>
        </is>
      </c>
      <c r="G96" s="17" t="inlineStr">
        <is>
          <t>2025-04-23</t>
        </is>
      </c>
      <c r="H96" s="17" t="n">
        <v>81</v>
      </c>
      <c r="I96" s="17" t="n">
        <v>0</v>
      </c>
      <c r="J96" s="17" t="n"/>
      <c r="K96" s="17" t="inlineStr">
        <is>
          <t>Crashed</t>
        </is>
      </c>
      <c r="L96" s="17" t="inlineStr">
        <is>
          <t>Free</t>
        </is>
      </c>
      <c r="M96" s="17" t="n">
        <v>46</v>
      </c>
      <c r="N96" s="17" t="inlineStr">
        <is>
          <t>No</t>
        </is>
      </c>
    </row>
    <row r="97">
      <c r="A97" s="17" t="inlineStr">
        <is>
          <t>S00093</t>
        </is>
      </c>
      <c r="B97" s="17" t="inlineStr">
        <is>
          <t>P5817</t>
        </is>
      </c>
      <c r="C97" s="17" t="inlineStr">
        <is>
          <t>cynthiasimmons</t>
        </is>
      </c>
      <c r="D97" s="17" t="inlineStr">
        <is>
          <t>BattleZone</t>
        </is>
      </c>
      <c r="E97" s="17" t="inlineStr">
        <is>
          <t>Mobile</t>
        </is>
      </c>
      <c r="F97" s="17" t="inlineStr">
        <is>
          <t>North</t>
        </is>
      </c>
      <c r="G97" s="17" t="inlineStr">
        <is>
          <t>2024-12-20</t>
        </is>
      </c>
      <c r="H97" s="17" t="n">
        <v>154</v>
      </c>
      <c r="I97" s="17" t="n">
        <v>0</v>
      </c>
      <c r="J97" s="17" t="n"/>
      <c r="K97" s="17" t="inlineStr">
        <is>
          <t>Completed</t>
        </is>
      </c>
      <c r="L97" s="17" t="inlineStr">
        <is>
          <t>Free</t>
        </is>
      </c>
      <c r="M97" s="17" t="n">
        <v>11</v>
      </c>
      <c r="N97" s="17" t="inlineStr">
        <is>
          <t>Yes</t>
        </is>
      </c>
    </row>
    <row r="98">
      <c r="A98" s="17" t="inlineStr">
        <is>
          <t>S00094</t>
        </is>
      </c>
      <c r="B98" s="17" t="inlineStr">
        <is>
          <t>P6677</t>
        </is>
      </c>
      <c r="C98" s="17" t="inlineStr">
        <is>
          <t>qwatson</t>
        </is>
      </c>
      <c r="D98" s="17" t="inlineStr">
        <is>
          <t>SpeedX</t>
        </is>
      </c>
      <c r="E98" s="17" t="inlineStr">
        <is>
          <t>Console</t>
        </is>
      </c>
      <c r="F98" s="17" t="inlineStr">
        <is>
          <t>North-East</t>
        </is>
      </c>
      <c r="G98" s="17" t="inlineStr">
        <is>
          <t>2025-03-15</t>
        </is>
      </c>
      <c r="H98" s="17" t="n">
        <v>143</v>
      </c>
      <c r="I98" s="17" t="n">
        <v>0</v>
      </c>
      <c r="J98" s="17" t="n"/>
      <c r="K98" s="17" t="inlineStr">
        <is>
          <t>Exited Early</t>
        </is>
      </c>
      <c r="L98" s="17" t="inlineStr">
        <is>
          <t>Free</t>
        </is>
      </c>
      <c r="M98" s="17" t="n">
        <v>10</v>
      </c>
      <c r="N98" s="17" t="inlineStr">
        <is>
          <t>No</t>
        </is>
      </c>
    </row>
    <row r="99">
      <c r="A99" s="17" t="inlineStr">
        <is>
          <t>S00095</t>
        </is>
      </c>
      <c r="B99" s="17" t="inlineStr">
        <is>
          <t>P5248</t>
        </is>
      </c>
      <c r="C99" s="17" t="inlineStr">
        <is>
          <t>xreed</t>
        </is>
      </c>
      <c r="D99" s="17" t="inlineStr">
        <is>
          <t>Clash of Realms</t>
        </is>
      </c>
      <c r="E99" s="17" t="inlineStr">
        <is>
          <t>PC</t>
        </is>
      </c>
      <c r="F99" s="17" t="inlineStr">
        <is>
          <t>South</t>
        </is>
      </c>
      <c r="G99" s="17" t="inlineStr">
        <is>
          <t>2025-05-02</t>
        </is>
      </c>
      <c r="H99" s="17" t="n">
        <v>123</v>
      </c>
      <c r="I99" s="17" t="n">
        <v>26.85</v>
      </c>
      <c r="J99" s="17" t="inlineStr">
        <is>
          <t>Battle Pass</t>
        </is>
      </c>
      <c r="K99" s="17" t="inlineStr">
        <is>
          <t>Crashed</t>
        </is>
      </c>
      <c r="L99" s="17" t="inlineStr">
        <is>
          <t>Paid</t>
        </is>
      </c>
      <c r="M99" s="17" t="n">
        <v>32</v>
      </c>
      <c r="N99" s="17" t="inlineStr">
        <is>
          <t>No</t>
        </is>
      </c>
    </row>
    <row r="100">
      <c r="A100" s="17" t="inlineStr">
        <is>
          <t>S00096</t>
        </is>
      </c>
      <c r="B100" s="17" t="inlineStr">
        <is>
          <t>P7669</t>
        </is>
      </c>
      <c r="C100" s="17" t="inlineStr">
        <is>
          <t>melanie00</t>
        </is>
      </c>
      <c r="D100" s="17" t="inlineStr">
        <is>
          <t>SpeedX</t>
        </is>
      </c>
      <c r="E100" s="17" t="inlineStr">
        <is>
          <t>Console</t>
        </is>
      </c>
      <c r="F100" s="17" t="inlineStr">
        <is>
          <t>Central</t>
        </is>
      </c>
      <c r="G100" s="17" t="inlineStr">
        <is>
          <t>2025-02-24</t>
        </is>
      </c>
      <c r="H100" s="17" t="n">
        <v>158</v>
      </c>
      <c r="I100" s="17" t="n">
        <v>0</v>
      </c>
      <c r="J100" s="17" t="n"/>
      <c r="K100" s="17" t="inlineStr">
        <is>
          <t>Completed</t>
        </is>
      </c>
      <c r="L100" s="17" t="inlineStr">
        <is>
          <t>Paid</t>
        </is>
      </c>
      <c r="M100" s="17" t="n">
        <v>17</v>
      </c>
      <c r="N100" s="17" t="inlineStr">
        <is>
          <t>Yes</t>
        </is>
      </c>
    </row>
    <row r="101">
      <c r="A101" s="17" t="inlineStr">
        <is>
          <t>S00097</t>
        </is>
      </c>
      <c r="B101" s="17" t="inlineStr">
        <is>
          <t>P1126</t>
        </is>
      </c>
      <c r="C101" s="17" t="inlineStr">
        <is>
          <t>richardward</t>
        </is>
      </c>
      <c r="D101" s="17" t="inlineStr">
        <is>
          <t>Zombie Rush</t>
        </is>
      </c>
      <c r="E101" s="17" t="inlineStr">
        <is>
          <t>PC</t>
        </is>
      </c>
      <c r="F101" s="17" t="inlineStr">
        <is>
          <t>West</t>
        </is>
      </c>
      <c r="G101" s="17" t="inlineStr">
        <is>
          <t>2025-02-22</t>
        </is>
      </c>
      <c r="H101" s="17" t="n">
        <v>122</v>
      </c>
      <c r="I101" s="17" t="n">
        <v>0</v>
      </c>
      <c r="J101" s="17" t="n"/>
      <c r="K101" s="17" t="inlineStr">
        <is>
          <t>Completed</t>
        </is>
      </c>
      <c r="L101" s="17" t="inlineStr">
        <is>
          <t>Free</t>
        </is>
      </c>
      <c r="M101" s="17" t="n">
        <v>9</v>
      </c>
      <c r="N101" s="17" t="inlineStr">
        <is>
          <t>No</t>
        </is>
      </c>
    </row>
    <row r="102">
      <c r="A102" s="17" t="inlineStr">
        <is>
          <t>S00098</t>
        </is>
      </c>
      <c r="B102" s="17" t="inlineStr">
        <is>
          <t>P8252</t>
        </is>
      </c>
      <c r="C102" s="17" t="inlineStr">
        <is>
          <t>riggsbarbara</t>
        </is>
      </c>
      <c r="D102" s="17" t="inlineStr">
        <is>
          <t>SpeedX</t>
        </is>
      </c>
      <c r="E102" s="17" t="inlineStr">
        <is>
          <t>Console</t>
        </is>
      </c>
      <c r="F102" s="17" t="inlineStr">
        <is>
          <t>North-East</t>
        </is>
      </c>
      <c r="G102" s="17" t="inlineStr">
        <is>
          <t>2024-12-20</t>
        </is>
      </c>
      <c r="H102" s="17" t="n">
        <v>164</v>
      </c>
      <c r="I102" s="17" t="n">
        <v>0</v>
      </c>
      <c r="J102" s="17" t="n"/>
      <c r="K102" s="17" t="inlineStr">
        <is>
          <t>Completed</t>
        </is>
      </c>
      <c r="L102" s="17" t="inlineStr">
        <is>
          <t>Paid</t>
        </is>
      </c>
      <c r="M102" s="17" t="n">
        <v>19</v>
      </c>
      <c r="N102" s="17" t="inlineStr">
        <is>
          <t>Yes</t>
        </is>
      </c>
    </row>
    <row r="103">
      <c r="A103" s="17" t="inlineStr">
        <is>
          <t>S00099</t>
        </is>
      </c>
      <c r="B103" s="17" t="inlineStr">
        <is>
          <t>P9800</t>
        </is>
      </c>
      <c r="C103" s="17" t="inlineStr">
        <is>
          <t>sroach</t>
        </is>
      </c>
      <c r="D103" s="17" t="inlineStr">
        <is>
          <t>Empire Wars</t>
        </is>
      </c>
      <c r="E103" s="17" t="inlineStr">
        <is>
          <t>Console</t>
        </is>
      </c>
      <c r="F103" s="17" t="inlineStr">
        <is>
          <t>East</t>
        </is>
      </c>
      <c r="G103" s="17" t="inlineStr">
        <is>
          <t>2025-03-22</t>
        </is>
      </c>
      <c r="H103" s="17" t="n">
        <v>173</v>
      </c>
      <c r="I103" s="17" t="n">
        <v>0</v>
      </c>
      <c r="J103" s="17" t="n"/>
      <c r="K103" s="17" t="inlineStr">
        <is>
          <t>Completed</t>
        </is>
      </c>
      <c r="L103" s="17" t="inlineStr">
        <is>
          <t>Free</t>
        </is>
      </c>
      <c r="M103" s="17" t="n">
        <v>37</v>
      </c>
      <c r="N103" s="17" t="inlineStr">
        <is>
          <t>Yes</t>
        </is>
      </c>
    </row>
    <row r="104">
      <c r="A104" s="17" t="inlineStr">
        <is>
          <t>S00100</t>
        </is>
      </c>
      <c r="B104" s="17" t="inlineStr">
        <is>
          <t>P5367</t>
        </is>
      </c>
      <c r="C104" s="17" t="inlineStr">
        <is>
          <t>jeffreyluna</t>
        </is>
      </c>
      <c r="D104" s="17" t="inlineStr">
        <is>
          <t>Empire Wars</t>
        </is>
      </c>
      <c r="E104" s="17" t="inlineStr">
        <is>
          <t>Console</t>
        </is>
      </c>
      <c r="F104" s="17" t="inlineStr">
        <is>
          <t>East</t>
        </is>
      </c>
      <c r="G104" s="17" t="inlineStr">
        <is>
          <t>2025-05-10</t>
        </is>
      </c>
      <c r="H104" s="17" t="n">
        <v>107</v>
      </c>
      <c r="I104" s="17" t="n">
        <v>0</v>
      </c>
      <c r="J104" s="17" t="n"/>
      <c r="K104" s="17" t="inlineStr">
        <is>
          <t>Incomplete</t>
        </is>
      </c>
      <c r="L104" s="17" t="inlineStr">
        <is>
          <t>Free</t>
        </is>
      </c>
      <c r="M104" s="17" t="n">
        <v>13</v>
      </c>
      <c r="N104" s="17" t="inlineStr">
        <is>
          <t>No</t>
        </is>
      </c>
    </row>
    <row r="105">
      <c r="A105" s="17" t="inlineStr">
        <is>
          <t>S00101</t>
        </is>
      </c>
      <c r="B105" s="17" t="inlineStr">
        <is>
          <t>P6401</t>
        </is>
      </c>
      <c r="C105" s="17" t="inlineStr">
        <is>
          <t>chavezmelissa</t>
        </is>
      </c>
      <c r="D105" s="17" t="inlineStr">
        <is>
          <t>BattleZone</t>
        </is>
      </c>
      <c r="E105" s="17" t="inlineStr">
        <is>
          <t>Mobile</t>
        </is>
      </c>
      <c r="F105" s="17" t="inlineStr">
        <is>
          <t>North</t>
        </is>
      </c>
      <c r="G105" s="17" t="inlineStr">
        <is>
          <t>2025-04-03</t>
        </is>
      </c>
      <c r="H105" s="17" t="n">
        <v>34</v>
      </c>
      <c r="I105" s="17" t="n">
        <v>15.26</v>
      </c>
      <c r="J105" s="17" t="inlineStr">
        <is>
          <t>Skins</t>
        </is>
      </c>
      <c r="K105" s="17" t="inlineStr">
        <is>
          <t>Completed</t>
        </is>
      </c>
      <c r="L105" s="17" t="inlineStr">
        <is>
          <t>Paid</t>
        </is>
      </c>
      <c r="M105" s="17" t="n">
        <v>11</v>
      </c>
      <c r="N105" s="17" t="inlineStr">
        <is>
          <t>No</t>
        </is>
      </c>
    </row>
    <row r="106">
      <c r="A106" s="17" t="inlineStr">
        <is>
          <t>S00102</t>
        </is>
      </c>
      <c r="B106" s="17" t="inlineStr">
        <is>
          <t>P1736</t>
        </is>
      </c>
      <c r="C106" s="17" t="inlineStr">
        <is>
          <t>qserrano</t>
        </is>
      </c>
      <c r="D106" s="17" t="inlineStr">
        <is>
          <t>Zombie Rush</t>
        </is>
      </c>
      <c r="E106" s="17" t="inlineStr">
        <is>
          <t>Mobile</t>
        </is>
      </c>
      <c r="F106" s="17" t="inlineStr">
        <is>
          <t>East</t>
        </is>
      </c>
      <c r="G106" s="17" t="inlineStr">
        <is>
          <t>2025-01-20</t>
        </is>
      </c>
      <c r="H106" s="17" t="n">
        <v>180</v>
      </c>
      <c r="I106" s="17" t="n">
        <v>0</v>
      </c>
      <c r="J106" s="17" t="n"/>
      <c r="K106" s="17" t="inlineStr">
        <is>
          <t>Completed</t>
        </is>
      </c>
      <c r="L106" s="17" t="inlineStr">
        <is>
          <t>Free</t>
        </is>
      </c>
      <c r="M106" s="17" t="n">
        <v>28</v>
      </c>
      <c r="N106" s="17" t="inlineStr">
        <is>
          <t>Yes</t>
        </is>
      </c>
    </row>
    <row r="107">
      <c r="A107" s="17" t="inlineStr">
        <is>
          <t>S00103</t>
        </is>
      </c>
      <c r="B107" s="17" t="inlineStr">
        <is>
          <t>P5013</t>
        </is>
      </c>
      <c r="C107" s="17" t="inlineStr">
        <is>
          <t>angelabutler</t>
        </is>
      </c>
      <c r="D107" s="17" t="inlineStr">
        <is>
          <t>Empire Wars</t>
        </is>
      </c>
      <c r="E107" s="17" t="inlineStr">
        <is>
          <t>Mobile</t>
        </is>
      </c>
      <c r="F107" s="17" t="inlineStr">
        <is>
          <t>North-East</t>
        </is>
      </c>
      <c r="G107" s="17" t="inlineStr">
        <is>
          <t>2025-01-11</t>
        </is>
      </c>
      <c r="H107" s="17" t="n">
        <v>41</v>
      </c>
      <c r="I107" s="17" t="n">
        <v>0</v>
      </c>
      <c r="J107" s="17" t="n"/>
      <c r="K107" s="17" t="inlineStr">
        <is>
          <t>Exited Early</t>
        </is>
      </c>
      <c r="L107" s="17" t="inlineStr">
        <is>
          <t>Free</t>
        </is>
      </c>
      <c r="M107" s="17" t="n">
        <v>47</v>
      </c>
      <c r="N107" s="17" t="inlineStr">
        <is>
          <t>No</t>
        </is>
      </c>
    </row>
    <row r="108">
      <c r="A108" s="17" t="inlineStr">
        <is>
          <t>S00104</t>
        </is>
      </c>
      <c r="B108" s="17" t="inlineStr">
        <is>
          <t>P9492</t>
        </is>
      </c>
      <c r="C108" s="17" t="inlineStr">
        <is>
          <t>ggriffith</t>
        </is>
      </c>
      <c r="D108" s="17" t="inlineStr">
        <is>
          <t>Empire Wars</t>
        </is>
      </c>
      <c r="E108" s="17" t="inlineStr">
        <is>
          <t>Console</t>
        </is>
      </c>
      <c r="F108" s="17" t="inlineStr">
        <is>
          <t>West</t>
        </is>
      </c>
      <c r="G108" s="17" t="inlineStr">
        <is>
          <t>2025-05-18</t>
        </is>
      </c>
      <c r="H108" s="17" t="n">
        <v>90</v>
      </c>
      <c r="I108" s="17" t="n">
        <v>0</v>
      </c>
      <c r="J108" s="17" t="n"/>
      <c r="K108" s="17" t="inlineStr">
        <is>
          <t>Completed</t>
        </is>
      </c>
      <c r="L108" s="17" t="inlineStr">
        <is>
          <t>Free</t>
        </is>
      </c>
      <c r="M108" s="17" t="n">
        <v>3</v>
      </c>
      <c r="N108" s="17" t="inlineStr">
        <is>
          <t>No</t>
        </is>
      </c>
    </row>
    <row r="109">
      <c r="A109" s="17" t="inlineStr">
        <is>
          <t>S00105</t>
        </is>
      </c>
      <c r="B109" s="17" t="inlineStr">
        <is>
          <t>P2590</t>
        </is>
      </c>
      <c r="C109" s="17" t="inlineStr">
        <is>
          <t>chrisperkins</t>
        </is>
      </c>
      <c r="D109" s="17" t="inlineStr">
        <is>
          <t>Clash of Realms</t>
        </is>
      </c>
      <c r="E109" s="17" t="inlineStr">
        <is>
          <t>Console</t>
        </is>
      </c>
      <c r="F109" s="17" t="inlineStr">
        <is>
          <t>Central</t>
        </is>
      </c>
      <c r="G109" s="17" t="inlineStr">
        <is>
          <t>2025-05-22</t>
        </is>
      </c>
      <c r="H109" s="17" t="n">
        <v>64</v>
      </c>
      <c r="I109" s="17" t="n">
        <v>0</v>
      </c>
      <c r="J109" s="17" t="n"/>
      <c r="K109" s="17" t="inlineStr">
        <is>
          <t>Completed</t>
        </is>
      </c>
      <c r="L109" s="17" t="inlineStr">
        <is>
          <t>Free</t>
        </is>
      </c>
      <c r="M109" s="17" t="n">
        <v>50</v>
      </c>
      <c r="N109" s="17" t="inlineStr">
        <is>
          <t>No</t>
        </is>
      </c>
    </row>
    <row r="110">
      <c r="A110" s="17" t="inlineStr">
        <is>
          <t>S00106</t>
        </is>
      </c>
      <c r="B110" s="17" t="inlineStr">
        <is>
          <t>P8823</t>
        </is>
      </c>
      <c r="C110" s="17" t="inlineStr">
        <is>
          <t>blakewallace</t>
        </is>
      </c>
      <c r="D110" s="17" t="inlineStr">
        <is>
          <t>BattleZone</t>
        </is>
      </c>
      <c r="E110" s="17" t="inlineStr">
        <is>
          <t>Mobile</t>
        </is>
      </c>
      <c r="F110" s="17" t="inlineStr">
        <is>
          <t>Central</t>
        </is>
      </c>
      <c r="G110" s="17" t="inlineStr">
        <is>
          <t>2025-01-28</t>
        </is>
      </c>
      <c r="H110" s="17" t="n">
        <v>101</v>
      </c>
      <c r="I110" s="17" t="n">
        <v>0</v>
      </c>
      <c r="J110" s="17" t="n"/>
      <c r="K110" s="17" t="inlineStr">
        <is>
          <t>Completed</t>
        </is>
      </c>
      <c r="L110" s="17" t="inlineStr">
        <is>
          <t>Free</t>
        </is>
      </c>
      <c r="M110" s="17" t="n">
        <v>6</v>
      </c>
      <c r="N110" s="17" t="inlineStr">
        <is>
          <t>No</t>
        </is>
      </c>
    </row>
    <row r="111">
      <c r="A111" s="17" t="inlineStr">
        <is>
          <t>S00107</t>
        </is>
      </c>
      <c r="B111" s="17" t="inlineStr">
        <is>
          <t>P1933</t>
        </is>
      </c>
      <c r="C111" s="17" t="inlineStr">
        <is>
          <t>ismith</t>
        </is>
      </c>
      <c r="D111" s="17" t="inlineStr">
        <is>
          <t>BattleZone</t>
        </is>
      </c>
      <c r="E111" s="17" t="inlineStr">
        <is>
          <t>PC</t>
        </is>
      </c>
      <c r="F111" s="17" t="inlineStr">
        <is>
          <t>North</t>
        </is>
      </c>
      <c r="G111" s="17" t="inlineStr">
        <is>
          <t>2025-04-15</t>
        </is>
      </c>
      <c r="H111" s="17" t="n">
        <v>21</v>
      </c>
      <c r="I111" s="17" t="n">
        <v>36.34</v>
      </c>
      <c r="J111" s="17" t="inlineStr">
        <is>
          <t>Subscriptions</t>
        </is>
      </c>
      <c r="K111" s="17" t="inlineStr">
        <is>
          <t>Completed</t>
        </is>
      </c>
      <c r="L111" s="17" t="inlineStr">
        <is>
          <t>Paid</t>
        </is>
      </c>
      <c r="M111" s="17" t="n">
        <v>24</v>
      </c>
      <c r="N111" s="17" t="inlineStr">
        <is>
          <t>No</t>
        </is>
      </c>
    </row>
    <row r="112">
      <c r="A112" s="17" t="inlineStr">
        <is>
          <t>S00108</t>
        </is>
      </c>
      <c r="B112" s="17" t="inlineStr">
        <is>
          <t>P4776</t>
        </is>
      </c>
      <c r="C112" s="17" t="inlineStr">
        <is>
          <t>amydunn</t>
        </is>
      </c>
      <c r="D112" s="17" t="inlineStr">
        <is>
          <t>Empire Wars</t>
        </is>
      </c>
      <c r="E112" s="17" t="inlineStr">
        <is>
          <t>Console</t>
        </is>
      </c>
      <c r="F112" s="17" t="inlineStr">
        <is>
          <t>West</t>
        </is>
      </c>
      <c r="G112" s="17" t="inlineStr">
        <is>
          <t>2025-03-31</t>
        </is>
      </c>
      <c r="H112" s="17" t="n">
        <v>153</v>
      </c>
      <c r="I112" s="17" t="n">
        <v>0</v>
      </c>
      <c r="J112" s="17" t="n"/>
      <c r="K112" s="17" t="inlineStr">
        <is>
          <t>Crashed</t>
        </is>
      </c>
      <c r="L112" s="17" t="inlineStr">
        <is>
          <t>Free</t>
        </is>
      </c>
      <c r="M112" s="17" t="n">
        <v>25</v>
      </c>
      <c r="N112" s="17" t="inlineStr">
        <is>
          <t>Yes</t>
        </is>
      </c>
    </row>
    <row r="113">
      <c r="A113" s="17" t="inlineStr">
        <is>
          <t>S00109</t>
        </is>
      </c>
      <c r="B113" s="17" t="inlineStr">
        <is>
          <t>P2082</t>
        </is>
      </c>
      <c r="C113" s="17" t="inlineStr">
        <is>
          <t>awise</t>
        </is>
      </c>
      <c r="D113" s="17" t="inlineStr">
        <is>
          <t>Empire Wars</t>
        </is>
      </c>
      <c r="E113" s="17" t="inlineStr">
        <is>
          <t>PC</t>
        </is>
      </c>
      <c r="F113" s="17" t="inlineStr">
        <is>
          <t>North-East</t>
        </is>
      </c>
      <c r="G113" s="17" t="inlineStr">
        <is>
          <t>2025-06-11</t>
        </is>
      </c>
      <c r="H113" s="17" t="n">
        <v>153</v>
      </c>
      <c r="I113" s="17" t="n">
        <v>0</v>
      </c>
      <c r="J113" s="17" t="n"/>
      <c r="K113" s="17" t="inlineStr">
        <is>
          <t>Completed</t>
        </is>
      </c>
      <c r="L113" s="17" t="inlineStr">
        <is>
          <t>Free</t>
        </is>
      </c>
      <c r="M113" s="17" t="n">
        <v>48</v>
      </c>
      <c r="N113" s="17" t="inlineStr">
        <is>
          <t>Yes</t>
        </is>
      </c>
    </row>
    <row r="114">
      <c r="A114" s="17" t="inlineStr">
        <is>
          <t>S00110</t>
        </is>
      </c>
      <c r="B114" s="17" t="inlineStr">
        <is>
          <t>P9730</t>
        </is>
      </c>
      <c r="C114" s="17" t="inlineStr">
        <is>
          <t>jennifer33</t>
        </is>
      </c>
      <c r="D114" s="17" t="inlineStr">
        <is>
          <t>BattleZone</t>
        </is>
      </c>
      <c r="E114" s="17" t="inlineStr">
        <is>
          <t>PC</t>
        </is>
      </c>
      <c r="F114" s="17" t="inlineStr">
        <is>
          <t>North</t>
        </is>
      </c>
      <c r="G114" s="17" t="inlineStr">
        <is>
          <t>2025-05-21</t>
        </is>
      </c>
      <c r="H114" s="17" t="n">
        <v>164</v>
      </c>
      <c r="I114" s="17" t="n">
        <v>0</v>
      </c>
      <c r="J114" s="17" t="n"/>
      <c r="K114" s="17" t="inlineStr">
        <is>
          <t>Crashed</t>
        </is>
      </c>
      <c r="L114" s="17" t="inlineStr">
        <is>
          <t>Paid</t>
        </is>
      </c>
      <c r="M114" s="17" t="n">
        <v>39</v>
      </c>
      <c r="N114" s="17" t="inlineStr">
        <is>
          <t>Yes</t>
        </is>
      </c>
    </row>
    <row r="115">
      <c r="A115" s="17" t="inlineStr">
        <is>
          <t>S00111</t>
        </is>
      </c>
      <c r="B115" s="17" t="inlineStr">
        <is>
          <t>P1583</t>
        </is>
      </c>
      <c r="C115" s="17" t="inlineStr">
        <is>
          <t>heatherpayne</t>
        </is>
      </c>
      <c r="D115" s="17" t="inlineStr">
        <is>
          <t>BattleZone</t>
        </is>
      </c>
      <c r="E115" s="17" t="inlineStr">
        <is>
          <t>PC</t>
        </is>
      </c>
      <c r="F115" s="17" t="inlineStr">
        <is>
          <t>Central</t>
        </is>
      </c>
      <c r="G115" s="17" t="inlineStr">
        <is>
          <t>2024-12-30</t>
        </is>
      </c>
      <c r="H115" s="17" t="n">
        <v>165</v>
      </c>
      <c r="I115" s="17" t="n">
        <v>0</v>
      </c>
      <c r="J115" s="17" t="n"/>
      <c r="K115" s="17" t="inlineStr">
        <is>
          <t>Crashed</t>
        </is>
      </c>
      <c r="L115" s="17" t="inlineStr">
        <is>
          <t>Free</t>
        </is>
      </c>
      <c r="M115" s="17" t="n">
        <v>48</v>
      </c>
      <c r="N115" s="17" t="inlineStr">
        <is>
          <t>Yes</t>
        </is>
      </c>
    </row>
    <row r="116">
      <c r="A116" s="17" t="inlineStr">
        <is>
          <t>S00112</t>
        </is>
      </c>
      <c r="B116" s="17" t="inlineStr">
        <is>
          <t>P3011</t>
        </is>
      </c>
      <c r="C116" s="17" t="inlineStr">
        <is>
          <t>keithmaddox</t>
        </is>
      </c>
      <c r="D116" s="17" t="inlineStr">
        <is>
          <t>BattleZone</t>
        </is>
      </c>
      <c r="E116" s="17" t="inlineStr">
        <is>
          <t>Mobile</t>
        </is>
      </c>
      <c r="F116" s="17" t="inlineStr">
        <is>
          <t>Central</t>
        </is>
      </c>
      <c r="G116" s="17" t="inlineStr">
        <is>
          <t>2025-05-25</t>
        </is>
      </c>
      <c r="H116" s="17" t="n">
        <v>172</v>
      </c>
      <c r="I116" s="17" t="n">
        <v>0</v>
      </c>
      <c r="J116" s="17" t="n"/>
      <c r="K116" s="17" t="inlineStr">
        <is>
          <t>Completed</t>
        </is>
      </c>
      <c r="L116" s="17" t="inlineStr">
        <is>
          <t>Free</t>
        </is>
      </c>
      <c r="M116" s="17" t="n">
        <v>50</v>
      </c>
      <c r="N116" s="17" t="inlineStr">
        <is>
          <t>Yes</t>
        </is>
      </c>
    </row>
    <row r="117">
      <c r="A117" s="17" t="inlineStr">
        <is>
          <t>S00113</t>
        </is>
      </c>
      <c r="B117" s="17" t="inlineStr">
        <is>
          <t>P7599</t>
        </is>
      </c>
      <c r="C117" s="17" t="inlineStr">
        <is>
          <t>fuentesmelanie</t>
        </is>
      </c>
      <c r="D117" s="17" t="inlineStr">
        <is>
          <t>BattleZone</t>
        </is>
      </c>
      <c r="E117" s="17" t="inlineStr">
        <is>
          <t>PC</t>
        </is>
      </c>
      <c r="F117" s="17" t="inlineStr">
        <is>
          <t>North</t>
        </is>
      </c>
      <c r="G117" s="17" t="inlineStr">
        <is>
          <t>2025-02-27</t>
        </is>
      </c>
      <c r="H117" s="17" t="n">
        <v>33</v>
      </c>
      <c r="I117" s="17" t="n">
        <v>0</v>
      </c>
      <c r="J117" s="17" t="n"/>
      <c r="K117" s="17" t="inlineStr">
        <is>
          <t>Completed</t>
        </is>
      </c>
      <c r="L117" s="17" t="inlineStr">
        <is>
          <t>Free</t>
        </is>
      </c>
      <c r="M117" s="17" t="n">
        <v>46</v>
      </c>
      <c r="N117" s="17" t="inlineStr">
        <is>
          <t>No</t>
        </is>
      </c>
    </row>
    <row r="118">
      <c r="A118" s="17" t="inlineStr">
        <is>
          <t>S00114</t>
        </is>
      </c>
      <c r="B118" s="17" t="inlineStr">
        <is>
          <t>P2615</t>
        </is>
      </c>
      <c r="C118" s="17" t="inlineStr">
        <is>
          <t>melissa89</t>
        </is>
      </c>
      <c r="D118" s="17" t="inlineStr">
        <is>
          <t>Zombie Rush</t>
        </is>
      </c>
      <c r="E118" s="17" t="inlineStr">
        <is>
          <t>Mobile</t>
        </is>
      </c>
      <c r="F118" s="17" t="inlineStr">
        <is>
          <t>Central</t>
        </is>
      </c>
      <c r="G118" s="17" t="inlineStr">
        <is>
          <t>2024-12-18</t>
        </is>
      </c>
      <c r="H118" s="17" t="n">
        <v>89</v>
      </c>
      <c r="I118" s="17" t="n">
        <v>30.92</v>
      </c>
      <c r="J118" s="17" t="inlineStr">
        <is>
          <t>Boosters</t>
        </is>
      </c>
      <c r="K118" s="17" t="inlineStr">
        <is>
          <t>Completed</t>
        </is>
      </c>
      <c r="L118" s="17" t="inlineStr">
        <is>
          <t>Paid</t>
        </is>
      </c>
      <c r="M118" s="17" t="n">
        <v>48</v>
      </c>
      <c r="N118" s="17" t="inlineStr">
        <is>
          <t>No</t>
        </is>
      </c>
    </row>
    <row r="119">
      <c r="A119" s="17" t="inlineStr">
        <is>
          <t>S00115</t>
        </is>
      </c>
      <c r="B119" s="17" t="inlineStr">
        <is>
          <t>P5890</t>
        </is>
      </c>
      <c r="C119" s="17" t="inlineStr">
        <is>
          <t>jill75</t>
        </is>
      </c>
      <c r="D119" s="17" t="inlineStr">
        <is>
          <t>Zombie Rush</t>
        </is>
      </c>
      <c r="E119" s="17" t="inlineStr">
        <is>
          <t>Mobile</t>
        </is>
      </c>
      <c r="F119" s="17" t="inlineStr">
        <is>
          <t>South</t>
        </is>
      </c>
      <c r="G119" s="17" t="inlineStr">
        <is>
          <t>2025-02-15</t>
        </is>
      </c>
      <c r="H119" s="17" t="n">
        <v>22</v>
      </c>
      <c r="I119" s="17" t="n">
        <v>28.43</v>
      </c>
      <c r="J119" s="17" t="inlineStr">
        <is>
          <t>Battle Pass</t>
        </is>
      </c>
      <c r="K119" s="17" t="inlineStr">
        <is>
          <t>Crashed</t>
        </is>
      </c>
      <c r="L119" s="17" t="inlineStr">
        <is>
          <t>Paid</t>
        </is>
      </c>
      <c r="M119" s="17" t="n">
        <v>36</v>
      </c>
      <c r="N119" s="17" t="inlineStr">
        <is>
          <t>No</t>
        </is>
      </c>
    </row>
    <row r="120">
      <c r="A120" s="17" t="inlineStr">
        <is>
          <t>S00116</t>
        </is>
      </c>
      <c r="B120" s="17" t="inlineStr">
        <is>
          <t>P7715</t>
        </is>
      </c>
      <c r="C120" s="17" t="inlineStr">
        <is>
          <t>vhart</t>
        </is>
      </c>
      <c r="D120" s="17" t="inlineStr">
        <is>
          <t>Zombie Rush</t>
        </is>
      </c>
      <c r="E120" s="17" t="inlineStr">
        <is>
          <t>Console</t>
        </is>
      </c>
      <c r="F120" s="17" t="inlineStr">
        <is>
          <t>North-East</t>
        </is>
      </c>
      <c r="G120" s="17" t="inlineStr">
        <is>
          <t>2025-04-02</t>
        </is>
      </c>
      <c r="H120" s="17" t="n">
        <v>65</v>
      </c>
      <c r="I120" s="17" t="n">
        <v>0</v>
      </c>
      <c r="J120" s="17" t="n"/>
      <c r="K120" s="17" t="inlineStr">
        <is>
          <t>Completed</t>
        </is>
      </c>
      <c r="L120" s="17" t="inlineStr">
        <is>
          <t>Free</t>
        </is>
      </c>
      <c r="M120" s="17" t="n">
        <v>8</v>
      </c>
      <c r="N120" s="17" t="inlineStr">
        <is>
          <t>No</t>
        </is>
      </c>
    </row>
    <row r="121">
      <c r="A121" s="17" t="inlineStr">
        <is>
          <t>S00117</t>
        </is>
      </c>
      <c r="B121" s="17" t="inlineStr">
        <is>
          <t>P4728</t>
        </is>
      </c>
      <c r="C121" s="17" t="inlineStr">
        <is>
          <t>marilynharrison</t>
        </is>
      </c>
      <c r="D121" s="17" t="inlineStr">
        <is>
          <t>BattleZone</t>
        </is>
      </c>
      <c r="E121" s="17" t="inlineStr">
        <is>
          <t>PC</t>
        </is>
      </c>
      <c r="F121" s="17" t="inlineStr">
        <is>
          <t>South</t>
        </is>
      </c>
      <c r="G121" s="17" t="inlineStr">
        <is>
          <t>2025-02-19</t>
        </is>
      </c>
      <c r="H121" s="17" t="n">
        <v>22</v>
      </c>
      <c r="I121" s="17" t="n">
        <v>0</v>
      </c>
      <c r="J121" s="17" t="n"/>
      <c r="K121" s="17" t="inlineStr">
        <is>
          <t>Completed</t>
        </is>
      </c>
      <c r="L121" s="17" t="inlineStr">
        <is>
          <t>Free</t>
        </is>
      </c>
      <c r="M121" s="17" t="n">
        <v>7</v>
      </c>
      <c r="N121" s="17" t="inlineStr">
        <is>
          <t>No</t>
        </is>
      </c>
    </row>
    <row r="122">
      <c r="A122" s="17" t="inlineStr">
        <is>
          <t>S00118</t>
        </is>
      </c>
      <c r="B122" s="17" t="inlineStr">
        <is>
          <t>P8621</t>
        </is>
      </c>
      <c r="C122" s="17" t="inlineStr">
        <is>
          <t>davisamy</t>
        </is>
      </c>
      <c r="D122" s="17" t="inlineStr">
        <is>
          <t>Empire Wars</t>
        </is>
      </c>
      <c r="E122" s="17" t="inlineStr">
        <is>
          <t>Mobile</t>
        </is>
      </c>
      <c r="F122" s="17" t="inlineStr">
        <is>
          <t>North-East</t>
        </is>
      </c>
      <c r="G122" s="17" t="inlineStr">
        <is>
          <t>2025-05-14</t>
        </is>
      </c>
      <c r="H122" s="17" t="n">
        <v>98</v>
      </c>
      <c r="I122" s="17" t="n">
        <v>0</v>
      </c>
      <c r="J122" s="17" t="n"/>
      <c r="K122" s="17" t="inlineStr">
        <is>
          <t>Crashed</t>
        </is>
      </c>
      <c r="L122" s="17" t="inlineStr">
        <is>
          <t>Free</t>
        </is>
      </c>
      <c r="M122" s="17" t="n">
        <v>7</v>
      </c>
      <c r="N122" s="17" t="inlineStr">
        <is>
          <t>No</t>
        </is>
      </c>
    </row>
    <row r="123">
      <c r="A123" s="17" t="inlineStr">
        <is>
          <t>S00119</t>
        </is>
      </c>
      <c r="B123" s="17" t="inlineStr">
        <is>
          <t>P4118</t>
        </is>
      </c>
      <c r="C123" s="17" t="inlineStr">
        <is>
          <t>dorseyemily</t>
        </is>
      </c>
      <c r="D123" s="17" t="inlineStr">
        <is>
          <t>BattleZone</t>
        </is>
      </c>
      <c r="E123" s="17" t="inlineStr">
        <is>
          <t>Console</t>
        </is>
      </c>
      <c r="F123" s="17" t="inlineStr">
        <is>
          <t>North</t>
        </is>
      </c>
      <c r="G123" s="17" t="inlineStr">
        <is>
          <t>2025-05-04</t>
        </is>
      </c>
      <c r="H123" s="17" t="n">
        <v>63</v>
      </c>
      <c r="I123" s="17" t="n">
        <v>0</v>
      </c>
      <c r="J123" s="17" t="n"/>
      <c r="K123" s="17" t="inlineStr">
        <is>
          <t>Completed</t>
        </is>
      </c>
      <c r="L123" s="17" t="inlineStr">
        <is>
          <t>Free</t>
        </is>
      </c>
      <c r="M123" s="17" t="n">
        <v>13</v>
      </c>
      <c r="N123" s="17" t="inlineStr">
        <is>
          <t>No</t>
        </is>
      </c>
    </row>
    <row r="124">
      <c r="A124" s="17" t="inlineStr">
        <is>
          <t>S00120</t>
        </is>
      </c>
      <c r="B124" s="17" t="inlineStr">
        <is>
          <t>P1199</t>
        </is>
      </c>
      <c r="C124" s="17" t="inlineStr">
        <is>
          <t>garymeyers</t>
        </is>
      </c>
      <c r="D124" s="17" t="inlineStr">
        <is>
          <t>Clash of Realms</t>
        </is>
      </c>
      <c r="E124" s="17" t="inlineStr">
        <is>
          <t>PC</t>
        </is>
      </c>
      <c r="F124" s="17" t="inlineStr">
        <is>
          <t>North</t>
        </is>
      </c>
      <c r="G124" s="17" t="inlineStr">
        <is>
          <t>2025-03-10</t>
        </is>
      </c>
      <c r="H124" s="17" t="n">
        <v>45</v>
      </c>
      <c r="I124" s="17" t="n">
        <v>31.67</v>
      </c>
      <c r="J124" s="17" t="inlineStr">
        <is>
          <t>Subscriptions</t>
        </is>
      </c>
      <c r="K124" s="17" t="inlineStr">
        <is>
          <t>Completed</t>
        </is>
      </c>
      <c r="L124" s="17" t="inlineStr">
        <is>
          <t>Paid</t>
        </is>
      </c>
      <c r="M124" s="17" t="n">
        <v>45</v>
      </c>
      <c r="N124" s="17" t="inlineStr">
        <is>
          <t>No</t>
        </is>
      </c>
    </row>
    <row r="125">
      <c r="A125" s="17" t="inlineStr">
        <is>
          <t>S00121</t>
        </is>
      </c>
      <c r="B125" s="17" t="inlineStr">
        <is>
          <t>P7130</t>
        </is>
      </c>
      <c r="C125" s="17" t="inlineStr">
        <is>
          <t>elee</t>
        </is>
      </c>
      <c r="D125" s="17" t="inlineStr">
        <is>
          <t>Clash of Realms</t>
        </is>
      </c>
      <c r="E125" s="17" t="inlineStr">
        <is>
          <t>Console</t>
        </is>
      </c>
      <c r="F125" s="17" t="inlineStr">
        <is>
          <t>North</t>
        </is>
      </c>
      <c r="G125" s="17" t="inlineStr">
        <is>
          <t>2025-01-31</t>
        </is>
      </c>
      <c r="H125" s="17" t="n">
        <v>142</v>
      </c>
      <c r="I125" s="17" t="n">
        <v>0</v>
      </c>
      <c r="J125" s="17" t="n"/>
      <c r="K125" s="17" t="inlineStr">
        <is>
          <t>Completed</t>
        </is>
      </c>
      <c r="L125" s="17" t="inlineStr">
        <is>
          <t>Free</t>
        </is>
      </c>
      <c r="M125" s="17" t="n">
        <v>3</v>
      </c>
      <c r="N125" s="17" t="inlineStr">
        <is>
          <t>No</t>
        </is>
      </c>
    </row>
    <row r="126">
      <c r="A126" s="17" t="inlineStr">
        <is>
          <t>S00122</t>
        </is>
      </c>
      <c r="B126" s="17" t="inlineStr">
        <is>
          <t>P1992</t>
        </is>
      </c>
      <c r="C126" s="17" t="inlineStr">
        <is>
          <t>jennifer29</t>
        </is>
      </c>
      <c r="D126" s="17" t="inlineStr">
        <is>
          <t>SpeedX</t>
        </is>
      </c>
      <c r="E126" s="17" t="inlineStr">
        <is>
          <t>Console</t>
        </is>
      </c>
      <c r="F126" s="17" t="inlineStr">
        <is>
          <t>Central</t>
        </is>
      </c>
      <c r="G126" s="17" t="inlineStr">
        <is>
          <t>2025-06-09</t>
        </is>
      </c>
      <c r="H126" s="17" t="n">
        <v>56</v>
      </c>
      <c r="I126" s="17" t="n">
        <v>4.07</v>
      </c>
      <c r="J126" s="17" t="inlineStr">
        <is>
          <t>Subscriptions</t>
        </is>
      </c>
      <c r="K126" s="17" t="inlineStr">
        <is>
          <t>Completed</t>
        </is>
      </c>
      <c r="L126" s="17" t="inlineStr">
        <is>
          <t>Paid</t>
        </is>
      </c>
      <c r="M126" s="17" t="n">
        <v>45</v>
      </c>
      <c r="N126" s="17" t="inlineStr">
        <is>
          <t>No</t>
        </is>
      </c>
    </row>
    <row r="127">
      <c r="A127" s="17" t="inlineStr">
        <is>
          <t>S00123</t>
        </is>
      </c>
      <c r="B127" s="17" t="inlineStr">
        <is>
          <t>P2064</t>
        </is>
      </c>
      <c r="C127" s="17" t="inlineStr">
        <is>
          <t>davidkelley</t>
        </is>
      </c>
      <c r="D127" s="17" t="inlineStr">
        <is>
          <t>Zombie Rush</t>
        </is>
      </c>
      <c r="E127" s="17" t="inlineStr">
        <is>
          <t>Mobile</t>
        </is>
      </c>
      <c r="F127" s="17" t="inlineStr">
        <is>
          <t>South</t>
        </is>
      </c>
      <c r="G127" s="17" t="inlineStr">
        <is>
          <t>2024-12-22</t>
        </is>
      </c>
      <c r="H127" s="17" t="n">
        <v>156</v>
      </c>
      <c r="I127" s="17" t="n">
        <v>0</v>
      </c>
      <c r="J127" s="17" t="n"/>
      <c r="K127" s="17" t="inlineStr">
        <is>
          <t>Completed</t>
        </is>
      </c>
      <c r="L127" s="17" t="inlineStr">
        <is>
          <t>Paid</t>
        </is>
      </c>
      <c r="M127" s="17" t="n">
        <v>45</v>
      </c>
      <c r="N127" s="17" t="inlineStr">
        <is>
          <t>Yes</t>
        </is>
      </c>
    </row>
    <row r="128">
      <c r="A128" s="17" t="inlineStr">
        <is>
          <t>S00124</t>
        </is>
      </c>
      <c r="B128" s="17" t="inlineStr">
        <is>
          <t>P9571</t>
        </is>
      </c>
      <c r="C128" s="17" t="inlineStr">
        <is>
          <t>haroldsawyer</t>
        </is>
      </c>
      <c r="D128" s="17" t="inlineStr">
        <is>
          <t>Empire Wars</t>
        </is>
      </c>
      <c r="E128" s="17" t="inlineStr">
        <is>
          <t>PC</t>
        </is>
      </c>
      <c r="F128" s="17" t="inlineStr">
        <is>
          <t>South</t>
        </is>
      </c>
      <c r="G128" s="17" t="inlineStr">
        <is>
          <t>2025-01-10</t>
        </is>
      </c>
      <c r="H128" s="17" t="n">
        <v>123</v>
      </c>
      <c r="I128" s="17" t="n">
        <v>0</v>
      </c>
      <c r="J128" s="17" t="n"/>
      <c r="K128" s="17" t="inlineStr">
        <is>
          <t>Crashed</t>
        </is>
      </c>
      <c r="L128" s="17" t="inlineStr">
        <is>
          <t>Free</t>
        </is>
      </c>
      <c r="M128" s="17" t="n">
        <v>12</v>
      </c>
      <c r="N128" s="17" t="inlineStr">
        <is>
          <t>No</t>
        </is>
      </c>
    </row>
    <row r="129">
      <c r="A129" s="17" t="inlineStr">
        <is>
          <t>S00125</t>
        </is>
      </c>
      <c r="B129" s="17" t="inlineStr">
        <is>
          <t>P9017</t>
        </is>
      </c>
      <c r="C129" s="17" t="inlineStr">
        <is>
          <t>albertkelly</t>
        </is>
      </c>
      <c r="D129" s="17" t="inlineStr">
        <is>
          <t>Zombie Rush</t>
        </is>
      </c>
      <c r="E129" s="17" t="inlineStr">
        <is>
          <t>PC</t>
        </is>
      </c>
      <c r="F129" s="17" t="inlineStr">
        <is>
          <t>South</t>
        </is>
      </c>
      <c r="G129" s="17" t="inlineStr">
        <is>
          <t>2025-06-11</t>
        </is>
      </c>
      <c r="H129" s="17" t="n">
        <v>172</v>
      </c>
      <c r="I129" s="17" t="n">
        <v>0</v>
      </c>
      <c r="J129" s="17" t="n"/>
      <c r="K129" s="17" t="inlineStr">
        <is>
          <t>Exited Early</t>
        </is>
      </c>
      <c r="L129" s="17" t="inlineStr">
        <is>
          <t>Free</t>
        </is>
      </c>
      <c r="M129" s="17" t="n">
        <v>21</v>
      </c>
      <c r="N129" s="17" t="inlineStr">
        <is>
          <t>Yes</t>
        </is>
      </c>
    </row>
    <row r="130">
      <c r="A130" s="17" t="inlineStr">
        <is>
          <t>S00126</t>
        </is>
      </c>
      <c r="B130" s="17" t="inlineStr">
        <is>
          <t>P8062</t>
        </is>
      </c>
      <c r="C130" s="17" t="inlineStr">
        <is>
          <t>chambersnicole</t>
        </is>
      </c>
      <c r="D130" s="17" t="inlineStr">
        <is>
          <t>Zombie Rush</t>
        </is>
      </c>
      <c r="E130" s="17" t="inlineStr">
        <is>
          <t>Mobile</t>
        </is>
      </c>
      <c r="F130" s="17" t="inlineStr">
        <is>
          <t>East</t>
        </is>
      </c>
      <c r="G130" s="17" t="inlineStr">
        <is>
          <t>2025-01-29</t>
        </is>
      </c>
      <c r="H130" s="17" t="n">
        <v>46</v>
      </c>
      <c r="I130" s="17" t="n">
        <v>14.47</v>
      </c>
      <c r="J130" s="17" t="inlineStr">
        <is>
          <t>Boosters</t>
        </is>
      </c>
      <c r="K130" s="17" t="inlineStr">
        <is>
          <t>Exited Early</t>
        </is>
      </c>
      <c r="L130" s="17" t="inlineStr">
        <is>
          <t>Paid</t>
        </is>
      </c>
      <c r="M130" s="17" t="n">
        <v>30</v>
      </c>
      <c r="N130" s="17" t="inlineStr">
        <is>
          <t>No</t>
        </is>
      </c>
    </row>
    <row r="131">
      <c r="A131" s="17" t="inlineStr">
        <is>
          <t>S00127</t>
        </is>
      </c>
      <c r="B131" s="17" t="inlineStr">
        <is>
          <t>P6411</t>
        </is>
      </c>
      <c r="C131" s="17" t="inlineStr">
        <is>
          <t>jacobsonmichael</t>
        </is>
      </c>
      <c r="D131" s="17" t="inlineStr">
        <is>
          <t>BattleZone</t>
        </is>
      </c>
      <c r="E131" s="17" t="inlineStr">
        <is>
          <t>Console</t>
        </is>
      </c>
      <c r="F131" s="17" t="inlineStr">
        <is>
          <t>West</t>
        </is>
      </c>
      <c r="G131" s="17" t="inlineStr">
        <is>
          <t>2025-01-04</t>
        </is>
      </c>
      <c r="H131" s="17" t="n">
        <v>153</v>
      </c>
      <c r="I131" s="17" t="n">
        <v>0</v>
      </c>
      <c r="J131" s="17" t="n"/>
      <c r="K131" s="17" t="inlineStr">
        <is>
          <t>Exited Early</t>
        </is>
      </c>
      <c r="L131" s="17" t="inlineStr">
        <is>
          <t>Free</t>
        </is>
      </c>
      <c r="M131" s="17" t="n">
        <v>15</v>
      </c>
      <c r="N131" s="17" t="inlineStr">
        <is>
          <t>Yes</t>
        </is>
      </c>
    </row>
    <row r="132">
      <c r="A132" s="17" t="inlineStr">
        <is>
          <t>S00128</t>
        </is>
      </c>
      <c r="B132" s="17" t="inlineStr">
        <is>
          <t>P4959</t>
        </is>
      </c>
      <c r="C132" s="17" t="inlineStr">
        <is>
          <t>robert48</t>
        </is>
      </c>
      <c r="D132" s="17" t="inlineStr">
        <is>
          <t>BattleZone</t>
        </is>
      </c>
      <c r="E132" s="17" t="inlineStr">
        <is>
          <t>Mobile</t>
        </is>
      </c>
      <c r="F132" s="17" t="inlineStr">
        <is>
          <t>North-East</t>
        </is>
      </c>
      <c r="G132" s="17" t="inlineStr">
        <is>
          <t>2025-06-07</t>
        </is>
      </c>
      <c r="H132" s="17" t="n">
        <v>128</v>
      </c>
      <c r="I132" s="17" t="n">
        <v>0</v>
      </c>
      <c r="J132" s="17" t="n"/>
      <c r="K132" s="17" t="inlineStr">
        <is>
          <t>Crashed</t>
        </is>
      </c>
      <c r="L132" s="17" t="inlineStr">
        <is>
          <t>Free</t>
        </is>
      </c>
      <c r="M132" s="17" t="n">
        <v>32</v>
      </c>
      <c r="N132" s="17" t="inlineStr">
        <is>
          <t>No</t>
        </is>
      </c>
    </row>
    <row r="133">
      <c r="A133" s="17" t="inlineStr">
        <is>
          <t>S00129</t>
        </is>
      </c>
      <c r="B133" s="17" t="inlineStr">
        <is>
          <t>P8564</t>
        </is>
      </c>
      <c r="C133" s="17" t="inlineStr">
        <is>
          <t>wyattsanchez</t>
        </is>
      </c>
      <c r="D133" s="17" t="inlineStr">
        <is>
          <t>Zombie Rush</t>
        </is>
      </c>
      <c r="E133" s="17" t="inlineStr">
        <is>
          <t>PC</t>
        </is>
      </c>
      <c r="F133" s="17" t="inlineStr">
        <is>
          <t>South</t>
        </is>
      </c>
      <c r="G133" s="17" t="inlineStr">
        <is>
          <t>2025-06-06</t>
        </is>
      </c>
      <c r="H133" s="17" t="n">
        <v>54</v>
      </c>
      <c r="I133" s="17" t="n">
        <v>0</v>
      </c>
      <c r="J133" s="17" t="n"/>
      <c r="K133" s="17" t="inlineStr">
        <is>
          <t>Completed</t>
        </is>
      </c>
      <c r="L133" s="17" t="inlineStr">
        <is>
          <t>Free</t>
        </is>
      </c>
      <c r="M133" s="17" t="n">
        <v>15</v>
      </c>
      <c r="N133" s="17" t="inlineStr">
        <is>
          <t>No</t>
        </is>
      </c>
    </row>
    <row r="134">
      <c r="A134" s="17" t="inlineStr">
        <is>
          <t>S00130</t>
        </is>
      </c>
      <c r="B134" s="17" t="inlineStr">
        <is>
          <t>P9652</t>
        </is>
      </c>
      <c r="C134" s="17" t="inlineStr">
        <is>
          <t>vedwards</t>
        </is>
      </c>
      <c r="D134" s="17" t="inlineStr">
        <is>
          <t>Zombie Rush</t>
        </is>
      </c>
      <c r="E134" s="17" t="inlineStr">
        <is>
          <t>Mobile</t>
        </is>
      </c>
      <c r="F134" s="17" t="inlineStr">
        <is>
          <t>East</t>
        </is>
      </c>
      <c r="G134" s="17" t="inlineStr">
        <is>
          <t>2025-01-13</t>
        </is>
      </c>
      <c r="H134" s="17" t="n">
        <v>133</v>
      </c>
      <c r="I134" s="17" t="n">
        <v>0</v>
      </c>
      <c r="J134" s="17" t="n"/>
      <c r="K134" s="17" t="inlineStr">
        <is>
          <t>Completed</t>
        </is>
      </c>
      <c r="L134" s="17" t="inlineStr">
        <is>
          <t>Free</t>
        </is>
      </c>
      <c r="M134" s="17" t="n">
        <v>35</v>
      </c>
      <c r="N134" s="17" t="inlineStr">
        <is>
          <t>No</t>
        </is>
      </c>
    </row>
    <row r="135">
      <c r="A135" s="17" t="inlineStr">
        <is>
          <t>S00131</t>
        </is>
      </c>
      <c r="B135" s="17" t="inlineStr">
        <is>
          <t>P6617</t>
        </is>
      </c>
      <c r="C135" s="17" t="inlineStr">
        <is>
          <t>figueroadoris</t>
        </is>
      </c>
      <c r="D135" s="17" t="inlineStr">
        <is>
          <t>Clash of Realms</t>
        </is>
      </c>
      <c r="E135" s="17" t="inlineStr">
        <is>
          <t>Mobile</t>
        </is>
      </c>
      <c r="F135" s="17" t="inlineStr">
        <is>
          <t>South</t>
        </is>
      </c>
      <c r="G135" s="17" t="inlineStr">
        <is>
          <t>2025-05-01</t>
        </is>
      </c>
      <c r="H135" s="17" t="n">
        <v>116</v>
      </c>
      <c r="I135" s="17" t="n">
        <v>0</v>
      </c>
      <c r="J135" s="17" t="n"/>
      <c r="K135" s="17" t="inlineStr">
        <is>
          <t>Crashed</t>
        </is>
      </c>
      <c r="L135" s="17" t="inlineStr">
        <is>
          <t>Free</t>
        </is>
      </c>
      <c r="M135" s="17" t="n">
        <v>30</v>
      </c>
      <c r="N135" s="17" t="inlineStr">
        <is>
          <t>No</t>
        </is>
      </c>
    </row>
    <row r="136">
      <c r="A136" s="17" t="inlineStr">
        <is>
          <t>S00132</t>
        </is>
      </c>
      <c r="B136" s="17" t="inlineStr">
        <is>
          <t>P2180</t>
        </is>
      </c>
      <c r="C136" s="17" t="inlineStr">
        <is>
          <t>briansteele</t>
        </is>
      </c>
      <c r="D136" s="17" t="inlineStr">
        <is>
          <t>Zombie Rush</t>
        </is>
      </c>
      <c r="E136" s="17" t="inlineStr">
        <is>
          <t>Console</t>
        </is>
      </c>
      <c r="F136" s="17" t="inlineStr">
        <is>
          <t>North-East</t>
        </is>
      </c>
      <c r="G136" s="17" t="inlineStr">
        <is>
          <t>2024-12-18</t>
        </is>
      </c>
      <c r="H136" s="17" t="n">
        <v>95</v>
      </c>
      <c r="I136" s="17" t="n">
        <v>0</v>
      </c>
      <c r="J136" s="17" t="n"/>
      <c r="K136" s="17" t="inlineStr">
        <is>
          <t>Completed</t>
        </is>
      </c>
      <c r="L136" s="17" t="inlineStr">
        <is>
          <t>Free</t>
        </is>
      </c>
      <c r="M136" s="17" t="n">
        <v>20</v>
      </c>
      <c r="N136" s="17" t="inlineStr">
        <is>
          <t>No</t>
        </is>
      </c>
    </row>
    <row r="137">
      <c r="A137" s="17" t="inlineStr">
        <is>
          <t>S00133</t>
        </is>
      </c>
      <c r="B137" s="17" t="inlineStr">
        <is>
          <t>P2956</t>
        </is>
      </c>
      <c r="C137" s="17" t="inlineStr">
        <is>
          <t>huangdana</t>
        </is>
      </c>
      <c r="D137" s="17" t="inlineStr">
        <is>
          <t>SpeedX</t>
        </is>
      </c>
      <c r="E137" s="17" t="inlineStr">
        <is>
          <t>PC</t>
        </is>
      </c>
      <c r="F137" s="17" t="inlineStr">
        <is>
          <t>North</t>
        </is>
      </c>
      <c r="G137" s="17" t="inlineStr">
        <is>
          <t>2024-12-22</t>
        </is>
      </c>
      <c r="H137" s="17" t="n">
        <v>107</v>
      </c>
      <c r="I137" s="17" t="n">
        <v>0</v>
      </c>
      <c r="J137" s="17" t="n"/>
      <c r="K137" s="17" t="inlineStr">
        <is>
          <t>Incomplete</t>
        </is>
      </c>
      <c r="L137" s="17" t="inlineStr">
        <is>
          <t>Free</t>
        </is>
      </c>
      <c r="M137" s="17" t="n">
        <v>7</v>
      </c>
      <c r="N137" s="17" t="inlineStr">
        <is>
          <t>No</t>
        </is>
      </c>
    </row>
    <row r="138">
      <c r="A138" s="17" t="inlineStr">
        <is>
          <t>S00134</t>
        </is>
      </c>
      <c r="B138" s="17" t="inlineStr">
        <is>
          <t>P3200</t>
        </is>
      </c>
      <c r="C138" s="17" t="inlineStr">
        <is>
          <t>robert23</t>
        </is>
      </c>
      <c r="D138" s="17" t="inlineStr">
        <is>
          <t>SpeedX</t>
        </is>
      </c>
      <c r="E138" s="17" t="inlineStr">
        <is>
          <t>PC</t>
        </is>
      </c>
      <c r="F138" s="17" t="inlineStr">
        <is>
          <t>North</t>
        </is>
      </c>
      <c r="G138" s="17" t="inlineStr">
        <is>
          <t>2025-04-01</t>
        </is>
      </c>
      <c r="H138" s="17" t="n">
        <v>150</v>
      </c>
      <c r="I138" s="17" t="n">
        <v>0</v>
      </c>
      <c r="J138" s="17" t="n"/>
      <c r="K138" s="17" t="inlineStr">
        <is>
          <t>Completed</t>
        </is>
      </c>
      <c r="L138" s="17" t="inlineStr">
        <is>
          <t>Free</t>
        </is>
      </c>
      <c r="M138" s="17" t="n">
        <v>47</v>
      </c>
      <c r="N138" s="17" t="inlineStr">
        <is>
          <t>No</t>
        </is>
      </c>
    </row>
    <row r="139">
      <c r="A139" s="17" t="inlineStr">
        <is>
          <t>S00135</t>
        </is>
      </c>
      <c r="B139" s="17" t="inlineStr">
        <is>
          <t>P9368</t>
        </is>
      </c>
      <c r="C139" s="17" t="inlineStr">
        <is>
          <t>thomasmonica</t>
        </is>
      </c>
      <c r="D139" s="17" t="inlineStr">
        <is>
          <t>SpeedX</t>
        </is>
      </c>
      <c r="E139" s="17" t="inlineStr">
        <is>
          <t>PC</t>
        </is>
      </c>
      <c r="F139" s="17" t="inlineStr">
        <is>
          <t>East</t>
        </is>
      </c>
      <c r="G139" s="17" t="inlineStr">
        <is>
          <t>2025-01-01</t>
        </is>
      </c>
      <c r="H139" s="17" t="n">
        <v>175</v>
      </c>
      <c r="I139" s="17" t="n">
        <v>0</v>
      </c>
      <c r="J139" s="17" t="n"/>
      <c r="K139" s="17" t="inlineStr">
        <is>
          <t>Completed</t>
        </is>
      </c>
      <c r="L139" s="17" t="inlineStr">
        <is>
          <t>Free</t>
        </is>
      </c>
      <c r="M139" s="17" t="n">
        <v>49</v>
      </c>
      <c r="N139" s="17" t="inlineStr">
        <is>
          <t>Yes</t>
        </is>
      </c>
    </row>
    <row r="140">
      <c r="A140" s="17" t="inlineStr">
        <is>
          <t>S00136</t>
        </is>
      </c>
      <c r="B140" s="17" t="inlineStr">
        <is>
          <t>P7857</t>
        </is>
      </c>
      <c r="C140" s="17" t="inlineStr">
        <is>
          <t>griffithbilly</t>
        </is>
      </c>
      <c r="D140" s="17" t="inlineStr">
        <is>
          <t>Zombie Rush</t>
        </is>
      </c>
      <c r="E140" s="17" t="inlineStr">
        <is>
          <t>PC</t>
        </is>
      </c>
      <c r="F140" s="17" t="inlineStr">
        <is>
          <t>North</t>
        </is>
      </c>
      <c r="G140" s="17" t="inlineStr">
        <is>
          <t>2025-01-22</t>
        </is>
      </c>
      <c r="H140" s="17" t="n">
        <v>26</v>
      </c>
      <c r="I140" s="17" t="n">
        <v>23.57</v>
      </c>
      <c r="J140" s="17" t="inlineStr">
        <is>
          <t>Battle Pass</t>
        </is>
      </c>
      <c r="K140" s="17" t="inlineStr">
        <is>
          <t>Completed</t>
        </is>
      </c>
      <c r="L140" s="17" t="inlineStr">
        <is>
          <t>Paid</t>
        </is>
      </c>
      <c r="M140" s="17" t="n">
        <v>10</v>
      </c>
      <c r="N140" s="17" t="inlineStr">
        <is>
          <t>No</t>
        </is>
      </c>
    </row>
    <row r="141">
      <c r="A141" s="17" t="inlineStr">
        <is>
          <t>S00137</t>
        </is>
      </c>
      <c r="B141" s="17" t="inlineStr">
        <is>
          <t>P4039</t>
        </is>
      </c>
      <c r="C141" s="17" t="inlineStr">
        <is>
          <t>alanguerrero</t>
        </is>
      </c>
      <c r="D141" s="17" t="inlineStr">
        <is>
          <t>SpeedX</t>
        </is>
      </c>
      <c r="E141" s="17" t="inlineStr">
        <is>
          <t>PC</t>
        </is>
      </c>
      <c r="F141" s="17" t="inlineStr">
        <is>
          <t>Central</t>
        </is>
      </c>
      <c r="G141" s="17" t="inlineStr">
        <is>
          <t>2025-05-17</t>
        </is>
      </c>
      <c r="H141" s="17" t="n">
        <v>115</v>
      </c>
      <c r="I141" s="17" t="n">
        <v>0</v>
      </c>
      <c r="J141" s="17" t="n"/>
      <c r="K141" s="17" t="inlineStr">
        <is>
          <t>Crashed</t>
        </is>
      </c>
      <c r="L141" s="17" t="inlineStr">
        <is>
          <t>Free</t>
        </is>
      </c>
      <c r="M141" s="17" t="n">
        <v>42</v>
      </c>
      <c r="N141" s="17" t="inlineStr">
        <is>
          <t>No</t>
        </is>
      </c>
    </row>
    <row r="142">
      <c r="A142" s="17" t="inlineStr">
        <is>
          <t>S00138</t>
        </is>
      </c>
      <c r="B142" s="17" t="inlineStr">
        <is>
          <t>P8823</t>
        </is>
      </c>
      <c r="C142" s="17" t="inlineStr">
        <is>
          <t>timothy18</t>
        </is>
      </c>
      <c r="D142" s="17" t="inlineStr">
        <is>
          <t>BattleZone</t>
        </is>
      </c>
      <c r="E142" s="17" t="inlineStr">
        <is>
          <t>PC</t>
        </is>
      </c>
      <c r="F142" s="17" t="inlineStr">
        <is>
          <t>North</t>
        </is>
      </c>
      <c r="G142" s="17" t="inlineStr">
        <is>
          <t>2025-04-27</t>
        </is>
      </c>
      <c r="H142" s="17" t="n">
        <v>72</v>
      </c>
      <c r="I142" s="17" t="n">
        <v>0</v>
      </c>
      <c r="J142" s="17" t="n"/>
      <c r="K142" s="17" t="inlineStr">
        <is>
          <t>Completed</t>
        </is>
      </c>
      <c r="L142" s="17" t="inlineStr">
        <is>
          <t>Paid</t>
        </is>
      </c>
      <c r="M142" s="17" t="n">
        <v>6</v>
      </c>
      <c r="N142" s="17" t="inlineStr">
        <is>
          <t>No</t>
        </is>
      </c>
    </row>
    <row r="143">
      <c r="A143" s="17" t="inlineStr">
        <is>
          <t>S00139</t>
        </is>
      </c>
      <c r="B143" s="17" t="inlineStr">
        <is>
          <t>P4544</t>
        </is>
      </c>
      <c r="C143" s="17" t="inlineStr">
        <is>
          <t>martinrobert</t>
        </is>
      </c>
      <c r="D143" s="17" t="inlineStr">
        <is>
          <t>Clash of Realms</t>
        </is>
      </c>
      <c r="E143" s="17" t="inlineStr">
        <is>
          <t>Console</t>
        </is>
      </c>
      <c r="F143" s="17" t="inlineStr">
        <is>
          <t>West</t>
        </is>
      </c>
      <c r="G143" s="17" t="inlineStr">
        <is>
          <t>2025-06-06</t>
        </is>
      </c>
      <c r="H143" s="17" t="n">
        <v>137</v>
      </c>
      <c r="I143" s="17" t="n">
        <v>0</v>
      </c>
      <c r="J143" s="17" t="n"/>
      <c r="K143" s="17" t="inlineStr">
        <is>
          <t>Incomplete</t>
        </is>
      </c>
      <c r="L143" s="17" t="inlineStr">
        <is>
          <t>Free</t>
        </is>
      </c>
      <c r="M143" s="17" t="n">
        <v>28</v>
      </c>
      <c r="N143" s="17" t="inlineStr">
        <is>
          <t>No</t>
        </is>
      </c>
    </row>
    <row r="144">
      <c r="A144" s="17" t="inlineStr">
        <is>
          <t>S00140</t>
        </is>
      </c>
      <c r="B144" s="17" t="inlineStr">
        <is>
          <t>P4842</t>
        </is>
      </c>
      <c r="C144" s="17" t="inlineStr">
        <is>
          <t>deckeramanda</t>
        </is>
      </c>
      <c r="D144" s="17" t="inlineStr">
        <is>
          <t>SpeedX</t>
        </is>
      </c>
      <c r="E144" s="17" t="inlineStr">
        <is>
          <t>Console</t>
        </is>
      </c>
      <c r="F144" s="17" t="inlineStr">
        <is>
          <t>West</t>
        </is>
      </c>
      <c r="G144" s="17" t="inlineStr">
        <is>
          <t>2025-04-12</t>
        </is>
      </c>
      <c r="H144" s="17" t="n">
        <v>145</v>
      </c>
      <c r="I144" s="17" t="n">
        <v>0</v>
      </c>
      <c r="J144" s="17" t="n"/>
      <c r="K144" s="17" t="inlineStr">
        <is>
          <t>Completed</t>
        </is>
      </c>
      <c r="L144" s="17" t="inlineStr">
        <is>
          <t>Paid</t>
        </is>
      </c>
      <c r="M144" s="17" t="n">
        <v>36</v>
      </c>
      <c r="N144" s="17" t="inlineStr">
        <is>
          <t>No</t>
        </is>
      </c>
    </row>
    <row r="145">
      <c r="A145" s="17" t="inlineStr">
        <is>
          <t>S00141</t>
        </is>
      </c>
      <c r="B145" s="17" t="inlineStr">
        <is>
          <t>P2727</t>
        </is>
      </c>
      <c r="C145" s="17" t="inlineStr">
        <is>
          <t>allison25</t>
        </is>
      </c>
      <c r="D145" s="17" t="inlineStr">
        <is>
          <t>SpeedX</t>
        </is>
      </c>
      <c r="E145" s="17" t="inlineStr">
        <is>
          <t>Mobile</t>
        </is>
      </c>
      <c r="F145" s="17" t="inlineStr">
        <is>
          <t>North-East</t>
        </is>
      </c>
      <c r="G145" s="17" t="inlineStr">
        <is>
          <t>2025-03-25</t>
        </is>
      </c>
      <c r="H145" s="17" t="n">
        <v>46</v>
      </c>
      <c r="I145" s="17" t="n">
        <v>0</v>
      </c>
      <c r="J145" s="17" t="n"/>
      <c r="K145" s="17" t="inlineStr">
        <is>
          <t>Completed</t>
        </is>
      </c>
      <c r="L145" s="17" t="inlineStr">
        <is>
          <t>Free</t>
        </is>
      </c>
      <c r="M145" s="17" t="n">
        <v>17</v>
      </c>
      <c r="N145" s="17" t="inlineStr">
        <is>
          <t>No</t>
        </is>
      </c>
    </row>
    <row r="146">
      <c r="A146" s="17" t="inlineStr">
        <is>
          <t>S00142</t>
        </is>
      </c>
      <c r="B146" s="17" t="inlineStr">
        <is>
          <t>P7235</t>
        </is>
      </c>
      <c r="C146" s="17" t="inlineStr">
        <is>
          <t>reedchad</t>
        </is>
      </c>
      <c r="D146" s="17" t="inlineStr">
        <is>
          <t>Clash of Realms</t>
        </is>
      </c>
      <c r="E146" s="17" t="inlineStr">
        <is>
          <t>PC</t>
        </is>
      </c>
      <c r="F146" s="17" t="inlineStr">
        <is>
          <t>West</t>
        </is>
      </c>
      <c r="G146" s="17" t="inlineStr">
        <is>
          <t>2025-01-28</t>
        </is>
      </c>
      <c r="H146" s="17" t="n">
        <v>106</v>
      </c>
      <c r="I146" s="17" t="n">
        <v>0</v>
      </c>
      <c r="J146" s="17" t="n"/>
      <c r="K146" s="17" t="inlineStr">
        <is>
          <t>Completed</t>
        </is>
      </c>
      <c r="L146" s="17" t="inlineStr">
        <is>
          <t>Free</t>
        </is>
      </c>
      <c r="M146" s="17" t="n">
        <v>15</v>
      </c>
      <c r="N146" s="17" t="inlineStr">
        <is>
          <t>No</t>
        </is>
      </c>
    </row>
    <row r="147">
      <c r="A147" s="17" t="inlineStr">
        <is>
          <t>S00143</t>
        </is>
      </c>
      <c r="B147" s="17" t="inlineStr">
        <is>
          <t>P8203</t>
        </is>
      </c>
      <c r="C147" s="17" t="inlineStr">
        <is>
          <t>kennedyjacob</t>
        </is>
      </c>
      <c r="D147" s="17" t="inlineStr">
        <is>
          <t>BattleZone</t>
        </is>
      </c>
      <c r="E147" s="17" t="inlineStr">
        <is>
          <t>Mobile</t>
        </is>
      </c>
      <c r="F147" s="17" t="inlineStr">
        <is>
          <t>North-East</t>
        </is>
      </c>
      <c r="G147" s="17" t="inlineStr">
        <is>
          <t>2025-02-17</t>
        </is>
      </c>
      <c r="H147" s="17" t="n">
        <v>48</v>
      </c>
      <c r="I147" s="17" t="n">
        <v>46.63</v>
      </c>
      <c r="J147" s="17" t="inlineStr">
        <is>
          <t>Battle Pass</t>
        </is>
      </c>
      <c r="K147" s="17" t="inlineStr">
        <is>
          <t>Completed</t>
        </is>
      </c>
      <c r="L147" s="17" t="inlineStr">
        <is>
          <t>Paid</t>
        </is>
      </c>
      <c r="M147" s="17" t="n">
        <v>42</v>
      </c>
      <c r="N147" s="17" t="inlineStr">
        <is>
          <t>Yes</t>
        </is>
      </c>
    </row>
    <row r="148">
      <c r="A148" s="17" t="inlineStr">
        <is>
          <t>S00144</t>
        </is>
      </c>
      <c r="B148" s="17" t="inlineStr">
        <is>
          <t>P2317</t>
        </is>
      </c>
      <c r="C148" s="17" t="inlineStr">
        <is>
          <t>robertohobbs</t>
        </is>
      </c>
      <c r="D148" s="17" t="inlineStr">
        <is>
          <t>Zombie Rush</t>
        </is>
      </c>
      <c r="E148" s="17" t="inlineStr">
        <is>
          <t>Console</t>
        </is>
      </c>
      <c r="F148" s="17" t="inlineStr">
        <is>
          <t>West</t>
        </is>
      </c>
      <c r="G148" s="17" t="inlineStr">
        <is>
          <t>2025-04-22</t>
        </is>
      </c>
      <c r="H148" s="17" t="n">
        <v>83</v>
      </c>
      <c r="I148" s="17" t="n">
        <v>0</v>
      </c>
      <c r="J148" s="17" t="n"/>
      <c r="K148" s="17" t="inlineStr">
        <is>
          <t>Completed</t>
        </is>
      </c>
      <c r="L148" s="17" t="inlineStr">
        <is>
          <t>Free</t>
        </is>
      </c>
      <c r="M148" s="17" t="n">
        <v>25</v>
      </c>
      <c r="N148" s="17" t="inlineStr">
        <is>
          <t>No</t>
        </is>
      </c>
    </row>
    <row r="149">
      <c r="A149" s="17" t="inlineStr">
        <is>
          <t>S00145</t>
        </is>
      </c>
      <c r="B149" s="17" t="inlineStr">
        <is>
          <t>P1686</t>
        </is>
      </c>
      <c r="C149" s="17" t="inlineStr">
        <is>
          <t>michellemurphy</t>
        </is>
      </c>
      <c r="D149" s="17" t="inlineStr">
        <is>
          <t>Clash of Realms</t>
        </is>
      </c>
      <c r="E149" s="17" t="inlineStr">
        <is>
          <t>Console</t>
        </is>
      </c>
      <c r="F149" s="17" t="inlineStr">
        <is>
          <t>Central</t>
        </is>
      </c>
      <c r="G149" s="17" t="inlineStr">
        <is>
          <t>2024-12-24</t>
        </is>
      </c>
      <c r="H149" s="17" t="n">
        <v>146</v>
      </c>
      <c r="I149" s="17" t="n">
        <v>0</v>
      </c>
      <c r="J149" s="17" t="n"/>
      <c r="K149" s="17" t="inlineStr">
        <is>
          <t>Completed</t>
        </is>
      </c>
      <c r="L149" s="17" t="inlineStr">
        <is>
          <t>Free</t>
        </is>
      </c>
      <c r="M149" s="17" t="n">
        <v>28</v>
      </c>
      <c r="N149" s="17" t="inlineStr">
        <is>
          <t>No</t>
        </is>
      </c>
    </row>
    <row r="150">
      <c r="A150" s="17" t="inlineStr">
        <is>
          <t>S00146</t>
        </is>
      </c>
      <c r="B150" s="17" t="inlineStr">
        <is>
          <t>P3775</t>
        </is>
      </c>
      <c r="C150" s="17" t="inlineStr">
        <is>
          <t>castillowilliam</t>
        </is>
      </c>
      <c r="D150" s="17" t="inlineStr">
        <is>
          <t>Clash of Realms</t>
        </is>
      </c>
      <c r="E150" s="17" t="inlineStr">
        <is>
          <t>Console</t>
        </is>
      </c>
      <c r="F150" s="17" t="inlineStr">
        <is>
          <t>North</t>
        </is>
      </c>
      <c r="G150" s="17" t="inlineStr">
        <is>
          <t>2025-02-25</t>
        </is>
      </c>
      <c r="H150" s="17" t="n">
        <v>18</v>
      </c>
      <c r="I150" s="17" t="n">
        <v>0</v>
      </c>
      <c r="J150" s="17" t="n"/>
      <c r="K150" s="17" t="inlineStr">
        <is>
          <t>Completed</t>
        </is>
      </c>
      <c r="L150" s="17" t="inlineStr">
        <is>
          <t>Free</t>
        </is>
      </c>
      <c r="M150" s="17" t="n">
        <v>47</v>
      </c>
      <c r="N150" s="17" t="inlineStr">
        <is>
          <t>No</t>
        </is>
      </c>
    </row>
    <row r="151">
      <c r="A151" s="17" t="inlineStr">
        <is>
          <t>S00147</t>
        </is>
      </c>
      <c r="B151" s="17" t="inlineStr">
        <is>
          <t>P2026</t>
        </is>
      </c>
      <c r="C151" s="17" t="inlineStr">
        <is>
          <t>manuel15</t>
        </is>
      </c>
      <c r="D151" s="17" t="inlineStr">
        <is>
          <t>SpeedX</t>
        </is>
      </c>
      <c r="E151" s="17" t="inlineStr">
        <is>
          <t>PC</t>
        </is>
      </c>
      <c r="F151" s="17" t="inlineStr">
        <is>
          <t>North</t>
        </is>
      </c>
      <c r="G151" s="17" t="inlineStr">
        <is>
          <t>2025-04-23</t>
        </is>
      </c>
      <c r="H151" s="17" t="n">
        <v>136</v>
      </c>
      <c r="I151" s="17" t="n">
        <v>0</v>
      </c>
      <c r="J151" s="17" t="n"/>
      <c r="K151" s="17" t="inlineStr">
        <is>
          <t>Completed</t>
        </is>
      </c>
      <c r="L151" s="17" t="inlineStr">
        <is>
          <t>Free</t>
        </is>
      </c>
      <c r="M151" s="17" t="n">
        <v>23</v>
      </c>
      <c r="N151" s="17" t="inlineStr">
        <is>
          <t>No</t>
        </is>
      </c>
    </row>
    <row r="152">
      <c r="A152" s="17" t="inlineStr">
        <is>
          <t>S00148</t>
        </is>
      </c>
      <c r="B152" s="17" t="inlineStr">
        <is>
          <t>P6441</t>
        </is>
      </c>
      <c r="C152" s="17" t="inlineStr">
        <is>
          <t>melissa77</t>
        </is>
      </c>
      <c r="D152" s="17" t="inlineStr">
        <is>
          <t>Empire Wars</t>
        </is>
      </c>
      <c r="E152" s="17" t="inlineStr">
        <is>
          <t>Console</t>
        </is>
      </c>
      <c r="F152" s="17" t="inlineStr">
        <is>
          <t>East</t>
        </is>
      </c>
      <c r="G152" s="17" t="inlineStr">
        <is>
          <t>2025-01-26</t>
        </is>
      </c>
      <c r="H152" s="17" t="n">
        <v>99</v>
      </c>
      <c r="I152" s="17" t="n">
        <v>0</v>
      </c>
      <c r="J152" s="17" t="n"/>
      <c r="K152" s="17" t="inlineStr">
        <is>
          <t>Completed</t>
        </is>
      </c>
      <c r="L152" s="17" t="inlineStr">
        <is>
          <t>Free</t>
        </is>
      </c>
      <c r="M152" s="17" t="n">
        <v>2</v>
      </c>
      <c r="N152" s="17" t="inlineStr">
        <is>
          <t>No</t>
        </is>
      </c>
    </row>
    <row r="153">
      <c r="A153" s="17" t="inlineStr">
        <is>
          <t>S00149</t>
        </is>
      </c>
      <c r="B153" s="17" t="inlineStr">
        <is>
          <t>P2573</t>
        </is>
      </c>
      <c r="C153" s="17" t="inlineStr">
        <is>
          <t>pkim</t>
        </is>
      </c>
      <c r="D153" s="17" t="inlineStr">
        <is>
          <t>Empire Wars</t>
        </is>
      </c>
      <c r="E153" s="17" t="inlineStr">
        <is>
          <t>Mobile</t>
        </is>
      </c>
      <c r="F153" s="17" t="inlineStr">
        <is>
          <t>Central</t>
        </is>
      </c>
      <c r="G153" s="17" t="inlineStr">
        <is>
          <t>2025-02-05</t>
        </is>
      </c>
      <c r="H153" s="17" t="n">
        <v>133</v>
      </c>
      <c r="I153" s="17" t="n">
        <v>0</v>
      </c>
      <c r="J153" s="17" t="n"/>
      <c r="K153" s="17" t="inlineStr">
        <is>
          <t>Completed</t>
        </is>
      </c>
      <c r="L153" s="17" t="inlineStr">
        <is>
          <t>Free</t>
        </is>
      </c>
      <c r="M153" s="17" t="n">
        <v>26</v>
      </c>
      <c r="N153" s="17" t="inlineStr">
        <is>
          <t>No</t>
        </is>
      </c>
    </row>
    <row r="154">
      <c r="A154" s="17" t="inlineStr">
        <is>
          <t>S00150</t>
        </is>
      </c>
      <c r="B154" s="17" t="inlineStr">
        <is>
          <t>P2593</t>
        </is>
      </c>
      <c r="C154" s="17" t="inlineStr">
        <is>
          <t>erinjones</t>
        </is>
      </c>
      <c r="D154" s="17" t="inlineStr">
        <is>
          <t>BattleZone</t>
        </is>
      </c>
      <c r="E154" s="17" t="inlineStr">
        <is>
          <t>Console</t>
        </is>
      </c>
      <c r="F154" s="17" t="inlineStr">
        <is>
          <t>Central</t>
        </is>
      </c>
      <c r="G154" s="17" t="inlineStr">
        <is>
          <t>2025-03-12</t>
        </is>
      </c>
      <c r="H154" s="17" t="n">
        <v>54</v>
      </c>
      <c r="I154" s="17" t="n">
        <v>0</v>
      </c>
      <c r="J154" s="17" t="n"/>
      <c r="K154" s="17" t="inlineStr">
        <is>
          <t>Completed</t>
        </is>
      </c>
      <c r="L154" s="17" t="inlineStr">
        <is>
          <t>Free</t>
        </is>
      </c>
      <c r="M154" s="17" t="n">
        <v>5</v>
      </c>
      <c r="N154" s="17" t="inlineStr">
        <is>
          <t>No</t>
        </is>
      </c>
    </row>
    <row r="155">
      <c r="A155" s="17" t="inlineStr">
        <is>
          <t>S00151</t>
        </is>
      </c>
      <c r="B155" s="17" t="inlineStr">
        <is>
          <t>P5644</t>
        </is>
      </c>
      <c r="C155" s="17" t="inlineStr">
        <is>
          <t>harrispamela</t>
        </is>
      </c>
      <c r="D155" s="17" t="inlineStr">
        <is>
          <t>Empire Wars</t>
        </is>
      </c>
      <c r="E155" s="17" t="inlineStr">
        <is>
          <t>PC</t>
        </is>
      </c>
      <c r="F155" s="17" t="inlineStr">
        <is>
          <t>North</t>
        </is>
      </c>
      <c r="G155" s="17" t="inlineStr">
        <is>
          <t>2025-01-09</t>
        </is>
      </c>
      <c r="H155" s="17" t="n">
        <v>169</v>
      </c>
      <c r="I155" s="17" t="n">
        <v>0</v>
      </c>
      <c r="J155" s="17" t="n"/>
      <c r="K155" s="17" t="inlineStr">
        <is>
          <t>Completed</t>
        </is>
      </c>
      <c r="L155" s="17" t="inlineStr">
        <is>
          <t>Free</t>
        </is>
      </c>
      <c r="M155" s="17" t="n">
        <v>30</v>
      </c>
      <c r="N155" s="17" t="inlineStr">
        <is>
          <t>Yes</t>
        </is>
      </c>
    </row>
    <row r="156">
      <c r="A156" s="17" t="inlineStr">
        <is>
          <t>S00152</t>
        </is>
      </c>
      <c r="B156" s="17" t="inlineStr">
        <is>
          <t>P5906</t>
        </is>
      </c>
      <c r="C156" s="17" t="inlineStr">
        <is>
          <t>onoble</t>
        </is>
      </c>
      <c r="D156" s="17" t="inlineStr">
        <is>
          <t>Empire Wars</t>
        </is>
      </c>
      <c r="E156" s="17" t="inlineStr">
        <is>
          <t>Console</t>
        </is>
      </c>
      <c r="F156" s="17" t="inlineStr">
        <is>
          <t>West</t>
        </is>
      </c>
      <c r="G156" s="17" t="inlineStr">
        <is>
          <t>2025-03-21</t>
        </is>
      </c>
      <c r="H156" s="17" t="n">
        <v>8</v>
      </c>
      <c r="I156" s="17" t="n">
        <v>39.12</v>
      </c>
      <c r="J156" s="17" t="inlineStr">
        <is>
          <t>Boosters</t>
        </is>
      </c>
      <c r="K156" s="17" t="inlineStr">
        <is>
          <t>Completed</t>
        </is>
      </c>
      <c r="L156" s="17" t="inlineStr">
        <is>
          <t>Paid</t>
        </is>
      </c>
      <c r="M156" s="17" t="n">
        <v>48</v>
      </c>
      <c r="N156" s="17" t="inlineStr">
        <is>
          <t>No</t>
        </is>
      </c>
    </row>
    <row r="157">
      <c r="A157" s="17" t="inlineStr">
        <is>
          <t>S00153</t>
        </is>
      </c>
      <c r="B157" s="17" t="inlineStr">
        <is>
          <t>P4716</t>
        </is>
      </c>
      <c r="C157" s="17" t="inlineStr">
        <is>
          <t>jamie88</t>
        </is>
      </c>
      <c r="D157" s="17" t="inlineStr">
        <is>
          <t>Clash of Realms</t>
        </is>
      </c>
      <c r="E157" s="17" t="inlineStr">
        <is>
          <t>Console</t>
        </is>
      </c>
      <c r="F157" s="17" t="inlineStr">
        <is>
          <t>West</t>
        </is>
      </c>
      <c r="G157" s="17" t="inlineStr">
        <is>
          <t>2025-02-07</t>
        </is>
      </c>
      <c r="H157" s="17" t="n">
        <v>27</v>
      </c>
      <c r="I157" s="17" t="n">
        <v>2.64</v>
      </c>
      <c r="J157" s="17" t="inlineStr">
        <is>
          <t>Subscriptions</t>
        </is>
      </c>
      <c r="K157" s="17" t="inlineStr">
        <is>
          <t>Completed</t>
        </is>
      </c>
      <c r="L157" s="17" t="inlineStr">
        <is>
          <t>Paid</t>
        </is>
      </c>
      <c r="M157" s="17" t="n">
        <v>3</v>
      </c>
      <c r="N157" s="17" t="inlineStr">
        <is>
          <t>No</t>
        </is>
      </c>
    </row>
    <row r="158">
      <c r="A158" s="17" t="inlineStr">
        <is>
          <t>S00154</t>
        </is>
      </c>
      <c r="B158" s="17" t="inlineStr">
        <is>
          <t>P8055</t>
        </is>
      </c>
      <c r="C158" s="17" t="inlineStr">
        <is>
          <t>davidsingleton</t>
        </is>
      </c>
      <c r="D158" s="17" t="inlineStr">
        <is>
          <t>BattleZone</t>
        </is>
      </c>
      <c r="E158" s="17" t="inlineStr">
        <is>
          <t>Mobile</t>
        </is>
      </c>
      <c r="F158" s="17" t="inlineStr">
        <is>
          <t>West</t>
        </is>
      </c>
      <c r="G158" s="17" t="inlineStr">
        <is>
          <t>2025-03-05</t>
        </is>
      </c>
      <c r="H158" s="17" t="n">
        <v>118</v>
      </c>
      <c r="I158" s="17" t="n">
        <v>46.55</v>
      </c>
      <c r="J158" s="17" t="inlineStr">
        <is>
          <t>Battle Pass</t>
        </is>
      </c>
      <c r="K158" s="17" t="inlineStr">
        <is>
          <t>Completed</t>
        </is>
      </c>
      <c r="L158" s="17" t="inlineStr">
        <is>
          <t>Paid</t>
        </is>
      </c>
      <c r="M158" s="17" t="n">
        <v>45</v>
      </c>
      <c r="N158" s="17" t="inlineStr">
        <is>
          <t>Yes</t>
        </is>
      </c>
    </row>
    <row r="159">
      <c r="A159" s="17" t="inlineStr">
        <is>
          <t>S00155</t>
        </is>
      </c>
      <c r="B159" s="17" t="inlineStr">
        <is>
          <t>P2328</t>
        </is>
      </c>
      <c r="C159" s="17" t="inlineStr">
        <is>
          <t>byrdevelyn</t>
        </is>
      </c>
      <c r="D159" s="17" t="inlineStr">
        <is>
          <t>Zombie Rush</t>
        </is>
      </c>
      <c r="E159" s="17" t="inlineStr">
        <is>
          <t>Mobile</t>
        </is>
      </c>
      <c r="F159" s="17" t="inlineStr">
        <is>
          <t>North-East</t>
        </is>
      </c>
      <c r="G159" s="17" t="inlineStr">
        <is>
          <t>2025-05-15</t>
        </is>
      </c>
      <c r="H159" s="17" t="n">
        <v>171</v>
      </c>
      <c r="I159" s="17" t="n">
        <v>18.03</v>
      </c>
      <c r="J159" s="17" t="inlineStr">
        <is>
          <t>Skins</t>
        </is>
      </c>
      <c r="K159" s="17" t="inlineStr">
        <is>
          <t>Completed</t>
        </is>
      </c>
      <c r="L159" s="17" t="inlineStr">
        <is>
          <t>Paid</t>
        </is>
      </c>
      <c r="M159" s="17" t="n">
        <v>43</v>
      </c>
      <c r="N159" s="17" t="inlineStr">
        <is>
          <t>Yes</t>
        </is>
      </c>
    </row>
    <row r="160">
      <c r="A160" s="17" t="inlineStr">
        <is>
          <t>S00156</t>
        </is>
      </c>
      <c r="B160" s="17" t="inlineStr">
        <is>
          <t>P2755</t>
        </is>
      </c>
      <c r="C160" s="17" t="inlineStr">
        <is>
          <t>ivan06</t>
        </is>
      </c>
      <c r="D160" s="17" t="inlineStr">
        <is>
          <t>Clash of Realms</t>
        </is>
      </c>
      <c r="E160" s="17" t="inlineStr">
        <is>
          <t>Mobile</t>
        </is>
      </c>
      <c r="F160" s="17" t="inlineStr">
        <is>
          <t>North</t>
        </is>
      </c>
      <c r="G160" s="17" t="inlineStr">
        <is>
          <t>2025-04-09</t>
        </is>
      </c>
      <c r="H160" s="17" t="n">
        <v>55</v>
      </c>
      <c r="I160" s="17" t="n">
        <v>0</v>
      </c>
      <c r="J160" s="17" t="n"/>
      <c r="K160" s="17" t="inlineStr">
        <is>
          <t>Completed</t>
        </is>
      </c>
      <c r="L160" s="17" t="inlineStr">
        <is>
          <t>Free</t>
        </is>
      </c>
      <c r="M160" s="17" t="n">
        <v>29</v>
      </c>
      <c r="N160" s="17" t="inlineStr">
        <is>
          <t>No</t>
        </is>
      </c>
    </row>
    <row r="161">
      <c r="A161" s="17" t="inlineStr">
        <is>
          <t>S00157</t>
        </is>
      </c>
      <c r="B161" s="17" t="inlineStr">
        <is>
          <t>P5941</t>
        </is>
      </c>
      <c r="C161" s="17" t="inlineStr">
        <is>
          <t>gabriellogan</t>
        </is>
      </c>
      <c r="D161" s="17" t="inlineStr">
        <is>
          <t>BattleZone</t>
        </is>
      </c>
      <c r="E161" s="17" t="inlineStr">
        <is>
          <t>Console</t>
        </is>
      </c>
      <c r="F161" s="17" t="inlineStr">
        <is>
          <t>North-East</t>
        </is>
      </c>
      <c r="G161" s="17" t="inlineStr">
        <is>
          <t>2025-02-21</t>
        </is>
      </c>
      <c r="H161" s="17" t="n">
        <v>37</v>
      </c>
      <c r="I161" s="17" t="n">
        <v>0</v>
      </c>
      <c r="J161" s="17" t="n"/>
      <c r="K161" s="17" t="inlineStr">
        <is>
          <t>Exited Early</t>
        </is>
      </c>
      <c r="L161" s="17" t="inlineStr">
        <is>
          <t>Free</t>
        </is>
      </c>
      <c r="M161" s="17" t="n">
        <v>1</v>
      </c>
      <c r="N161" s="17" t="inlineStr">
        <is>
          <t>No</t>
        </is>
      </c>
    </row>
    <row r="162">
      <c r="A162" s="17" t="inlineStr">
        <is>
          <t>S00158</t>
        </is>
      </c>
      <c r="B162" s="17" t="inlineStr">
        <is>
          <t>P4783</t>
        </is>
      </c>
      <c r="C162" s="17" t="inlineStr">
        <is>
          <t>gsmith</t>
        </is>
      </c>
      <c r="D162" s="17" t="inlineStr">
        <is>
          <t>Empire Wars</t>
        </is>
      </c>
      <c r="E162" s="17" t="inlineStr">
        <is>
          <t>Console</t>
        </is>
      </c>
      <c r="F162" s="17" t="inlineStr">
        <is>
          <t>West</t>
        </is>
      </c>
      <c r="G162" s="17" t="inlineStr">
        <is>
          <t>2025-02-12</t>
        </is>
      </c>
      <c r="H162" s="17" t="n">
        <v>79</v>
      </c>
      <c r="I162" s="17" t="n">
        <v>0</v>
      </c>
      <c r="J162" s="17" t="n"/>
      <c r="K162" s="17" t="inlineStr">
        <is>
          <t>Completed</t>
        </is>
      </c>
      <c r="L162" s="17" t="inlineStr">
        <is>
          <t>Free</t>
        </is>
      </c>
      <c r="M162" s="17" t="n">
        <v>44</v>
      </c>
      <c r="N162" s="17" t="inlineStr">
        <is>
          <t>No</t>
        </is>
      </c>
    </row>
    <row r="163">
      <c r="A163" s="17" t="inlineStr">
        <is>
          <t>S00159</t>
        </is>
      </c>
      <c r="B163" s="17" t="inlineStr">
        <is>
          <t>P7795</t>
        </is>
      </c>
      <c r="C163" s="17" t="inlineStr">
        <is>
          <t>morrismelissa</t>
        </is>
      </c>
      <c r="D163" s="17" t="inlineStr">
        <is>
          <t>Clash of Realms</t>
        </is>
      </c>
      <c r="E163" s="17" t="inlineStr">
        <is>
          <t>Console</t>
        </is>
      </c>
      <c r="F163" s="17" t="inlineStr">
        <is>
          <t>South</t>
        </is>
      </c>
      <c r="G163" s="17" t="inlineStr">
        <is>
          <t>2025-02-02</t>
        </is>
      </c>
      <c r="H163" s="17" t="n">
        <v>50</v>
      </c>
      <c r="I163" s="17" t="n">
        <v>0</v>
      </c>
      <c r="J163" s="17" t="n"/>
      <c r="K163" s="17" t="inlineStr">
        <is>
          <t>Completed</t>
        </is>
      </c>
      <c r="L163" s="17" t="inlineStr">
        <is>
          <t>Free</t>
        </is>
      </c>
      <c r="M163" s="17" t="n">
        <v>21</v>
      </c>
      <c r="N163" s="17" t="inlineStr">
        <is>
          <t>No</t>
        </is>
      </c>
    </row>
    <row r="164">
      <c r="A164" s="17" t="inlineStr">
        <is>
          <t>S00160</t>
        </is>
      </c>
      <c r="B164" s="17" t="inlineStr">
        <is>
          <t>P5207</t>
        </is>
      </c>
      <c r="C164" s="17" t="inlineStr">
        <is>
          <t>courtneycarr</t>
        </is>
      </c>
      <c r="D164" s="17" t="inlineStr">
        <is>
          <t>Empire Wars</t>
        </is>
      </c>
      <c r="E164" s="17" t="inlineStr">
        <is>
          <t>Mobile</t>
        </is>
      </c>
      <c r="F164" s="17" t="inlineStr">
        <is>
          <t>North</t>
        </is>
      </c>
      <c r="G164" s="17" t="inlineStr">
        <is>
          <t>2025-02-12</t>
        </is>
      </c>
      <c r="H164" s="17" t="n">
        <v>57</v>
      </c>
      <c r="I164" s="17" t="n">
        <v>0</v>
      </c>
      <c r="J164" s="17" t="n"/>
      <c r="K164" s="17" t="inlineStr">
        <is>
          <t>Completed</t>
        </is>
      </c>
      <c r="L164" s="17" t="inlineStr">
        <is>
          <t>Free</t>
        </is>
      </c>
      <c r="M164" s="17" t="n">
        <v>13</v>
      </c>
      <c r="N164" s="17" t="inlineStr">
        <is>
          <t>No</t>
        </is>
      </c>
    </row>
    <row r="165">
      <c r="A165" s="17" t="inlineStr">
        <is>
          <t>S00161</t>
        </is>
      </c>
      <c r="B165" s="17" t="inlineStr">
        <is>
          <t>P7830</t>
        </is>
      </c>
      <c r="C165" s="17" t="inlineStr">
        <is>
          <t>thomasowens</t>
        </is>
      </c>
      <c r="D165" s="17" t="inlineStr">
        <is>
          <t>Zombie Rush</t>
        </is>
      </c>
      <c r="E165" s="17" t="inlineStr">
        <is>
          <t>Console</t>
        </is>
      </c>
      <c r="F165" s="17" t="inlineStr">
        <is>
          <t>West</t>
        </is>
      </c>
      <c r="G165" s="17" t="inlineStr">
        <is>
          <t>2025-04-18</t>
        </is>
      </c>
      <c r="H165" s="17" t="n">
        <v>116</v>
      </c>
      <c r="I165" s="17" t="n">
        <v>17.05</v>
      </c>
      <c r="J165" s="17" t="inlineStr">
        <is>
          <t>Subscriptions</t>
        </is>
      </c>
      <c r="K165" s="17" t="inlineStr">
        <is>
          <t>Exited Early</t>
        </is>
      </c>
      <c r="L165" s="17" t="inlineStr">
        <is>
          <t>Paid</t>
        </is>
      </c>
      <c r="M165" s="17" t="n">
        <v>17</v>
      </c>
      <c r="N165" s="17" t="inlineStr">
        <is>
          <t>No</t>
        </is>
      </c>
    </row>
    <row r="166">
      <c r="A166" s="17" t="inlineStr">
        <is>
          <t>S00162</t>
        </is>
      </c>
      <c r="B166" s="17" t="inlineStr">
        <is>
          <t>P9575</t>
        </is>
      </c>
      <c r="C166" s="17" t="inlineStr">
        <is>
          <t>robertsoncynthia</t>
        </is>
      </c>
      <c r="D166" s="17" t="inlineStr">
        <is>
          <t>Empire Wars</t>
        </is>
      </c>
      <c r="E166" s="17" t="inlineStr">
        <is>
          <t>Mobile</t>
        </is>
      </c>
      <c r="F166" s="17" t="inlineStr">
        <is>
          <t>North-East</t>
        </is>
      </c>
      <c r="G166" s="17" t="inlineStr">
        <is>
          <t>2025-02-13</t>
        </is>
      </c>
      <c r="H166" s="17" t="n">
        <v>8</v>
      </c>
      <c r="I166" s="17" t="n">
        <v>0</v>
      </c>
      <c r="J166" s="17" t="n"/>
      <c r="K166" s="17" t="inlineStr">
        <is>
          <t>Exited Early</t>
        </is>
      </c>
      <c r="L166" s="17" t="inlineStr">
        <is>
          <t>Free</t>
        </is>
      </c>
      <c r="M166" s="17" t="n">
        <v>31</v>
      </c>
      <c r="N166" s="17" t="inlineStr">
        <is>
          <t>No</t>
        </is>
      </c>
    </row>
    <row r="167">
      <c r="A167" s="17" t="inlineStr">
        <is>
          <t>S00163</t>
        </is>
      </c>
      <c r="B167" s="17" t="inlineStr">
        <is>
          <t>P8379</t>
        </is>
      </c>
      <c r="C167" s="17" t="inlineStr">
        <is>
          <t>uhudson</t>
        </is>
      </c>
      <c r="D167" s="17" t="inlineStr">
        <is>
          <t>Clash of Realms</t>
        </is>
      </c>
      <c r="E167" s="17" t="inlineStr">
        <is>
          <t>Console</t>
        </is>
      </c>
      <c r="F167" s="17" t="inlineStr">
        <is>
          <t>North-East</t>
        </is>
      </c>
      <c r="G167" s="17" t="inlineStr">
        <is>
          <t>2025-01-01</t>
        </is>
      </c>
      <c r="H167" s="17" t="n">
        <v>38</v>
      </c>
      <c r="I167" s="17" t="n">
        <v>0</v>
      </c>
      <c r="J167" s="17" t="n"/>
      <c r="K167" s="17" t="inlineStr">
        <is>
          <t>Completed</t>
        </is>
      </c>
      <c r="L167" s="17" t="inlineStr">
        <is>
          <t>Free</t>
        </is>
      </c>
      <c r="M167" s="17" t="n">
        <v>21</v>
      </c>
      <c r="N167" s="17" t="inlineStr">
        <is>
          <t>No</t>
        </is>
      </c>
    </row>
    <row r="168">
      <c r="A168" s="17" t="inlineStr">
        <is>
          <t>S00164</t>
        </is>
      </c>
      <c r="B168" s="17" t="inlineStr">
        <is>
          <t>P4355</t>
        </is>
      </c>
      <c r="C168" s="17" t="inlineStr">
        <is>
          <t>victoriastone</t>
        </is>
      </c>
      <c r="D168" s="17" t="inlineStr">
        <is>
          <t>BattleZone</t>
        </is>
      </c>
      <c r="E168" s="17" t="inlineStr">
        <is>
          <t>PC</t>
        </is>
      </c>
      <c r="F168" s="17" t="inlineStr">
        <is>
          <t>North-East</t>
        </is>
      </c>
      <c r="G168" s="17" t="inlineStr">
        <is>
          <t>2025-05-05</t>
        </is>
      </c>
      <c r="H168" s="17" t="n">
        <v>94</v>
      </c>
      <c r="I168" s="17" t="n">
        <v>0</v>
      </c>
      <c r="J168" s="17" t="n"/>
      <c r="K168" s="17" t="inlineStr">
        <is>
          <t>Exited Early</t>
        </is>
      </c>
      <c r="L168" s="17" t="inlineStr">
        <is>
          <t>Free</t>
        </is>
      </c>
      <c r="M168" s="17" t="n">
        <v>23</v>
      </c>
      <c r="N168" s="17" t="inlineStr">
        <is>
          <t>No</t>
        </is>
      </c>
    </row>
    <row r="169">
      <c r="A169" s="17" t="inlineStr">
        <is>
          <t>S00165</t>
        </is>
      </c>
      <c r="B169" s="17" t="inlineStr">
        <is>
          <t>P6225</t>
        </is>
      </c>
      <c r="C169" s="17" t="inlineStr">
        <is>
          <t>adam91</t>
        </is>
      </c>
      <c r="D169" s="17" t="inlineStr">
        <is>
          <t>BattleZone</t>
        </is>
      </c>
      <c r="E169" s="17" t="inlineStr">
        <is>
          <t>PC</t>
        </is>
      </c>
      <c r="F169" s="17" t="inlineStr">
        <is>
          <t>East</t>
        </is>
      </c>
      <c r="G169" s="17" t="inlineStr">
        <is>
          <t>2025-03-22</t>
        </is>
      </c>
      <c r="H169" s="17" t="n">
        <v>139</v>
      </c>
      <c r="I169" s="17" t="n">
        <v>0</v>
      </c>
      <c r="J169" s="17" t="n"/>
      <c r="K169" s="17" t="inlineStr">
        <is>
          <t>Completed</t>
        </is>
      </c>
      <c r="L169" s="17" t="inlineStr">
        <is>
          <t>Free</t>
        </is>
      </c>
      <c r="M169" s="17" t="n">
        <v>26</v>
      </c>
      <c r="N169" s="17" t="inlineStr">
        <is>
          <t>No</t>
        </is>
      </c>
    </row>
    <row r="170">
      <c r="A170" s="17" t="inlineStr">
        <is>
          <t>S00166</t>
        </is>
      </c>
      <c r="B170" s="17" t="inlineStr">
        <is>
          <t>P9011</t>
        </is>
      </c>
      <c r="C170" s="17" t="inlineStr">
        <is>
          <t>robertroberts</t>
        </is>
      </c>
      <c r="D170" s="17" t="inlineStr">
        <is>
          <t>BattleZone</t>
        </is>
      </c>
      <c r="E170" s="17" t="inlineStr">
        <is>
          <t>Console</t>
        </is>
      </c>
      <c r="F170" s="17" t="inlineStr">
        <is>
          <t>East</t>
        </is>
      </c>
      <c r="G170" s="17" t="inlineStr">
        <is>
          <t>2025-05-17</t>
        </is>
      </c>
      <c r="H170" s="17" t="n">
        <v>153</v>
      </c>
      <c r="I170" s="17" t="n">
        <v>0</v>
      </c>
      <c r="J170" s="17" t="n"/>
      <c r="K170" s="17" t="inlineStr">
        <is>
          <t>Completed</t>
        </is>
      </c>
      <c r="L170" s="17" t="inlineStr">
        <is>
          <t>Free</t>
        </is>
      </c>
      <c r="M170" s="17" t="n">
        <v>45</v>
      </c>
      <c r="N170" s="17" t="inlineStr">
        <is>
          <t>Yes</t>
        </is>
      </c>
    </row>
    <row r="171">
      <c r="A171" s="17" t="inlineStr">
        <is>
          <t>S00167</t>
        </is>
      </c>
      <c r="B171" s="17" t="inlineStr">
        <is>
          <t>P4379</t>
        </is>
      </c>
      <c r="C171" s="17" t="inlineStr">
        <is>
          <t>walkerdeborah</t>
        </is>
      </c>
      <c r="D171" s="17" t="inlineStr">
        <is>
          <t>BattleZone</t>
        </is>
      </c>
      <c r="E171" s="17" t="inlineStr">
        <is>
          <t>Mobile</t>
        </is>
      </c>
      <c r="F171" s="17" t="inlineStr">
        <is>
          <t>West</t>
        </is>
      </c>
      <c r="G171" s="17" t="inlineStr">
        <is>
          <t>2025-04-16</t>
        </is>
      </c>
      <c r="H171" s="17" t="n">
        <v>116</v>
      </c>
      <c r="I171" s="17" t="n">
        <v>47.47</v>
      </c>
      <c r="J171" s="17" t="inlineStr">
        <is>
          <t>Subscriptions</t>
        </is>
      </c>
      <c r="K171" s="17" t="inlineStr">
        <is>
          <t>Completed</t>
        </is>
      </c>
      <c r="L171" s="17" t="inlineStr">
        <is>
          <t>Paid</t>
        </is>
      </c>
      <c r="M171" s="17" t="n">
        <v>1</v>
      </c>
      <c r="N171" s="17" t="inlineStr">
        <is>
          <t>Yes</t>
        </is>
      </c>
    </row>
    <row r="172">
      <c r="A172" s="17" t="inlineStr">
        <is>
          <t>S00168</t>
        </is>
      </c>
      <c r="B172" s="17" t="inlineStr">
        <is>
          <t>P6734</t>
        </is>
      </c>
      <c r="C172" s="17" t="inlineStr">
        <is>
          <t>whitemary</t>
        </is>
      </c>
      <c r="D172" s="17" t="inlineStr">
        <is>
          <t>SpeedX</t>
        </is>
      </c>
      <c r="E172" s="17" t="inlineStr">
        <is>
          <t>PC</t>
        </is>
      </c>
      <c r="F172" s="17" t="inlineStr">
        <is>
          <t>North-East</t>
        </is>
      </c>
      <c r="G172" s="17" t="inlineStr">
        <is>
          <t>2025-03-09</t>
        </is>
      </c>
      <c r="H172" s="17" t="n">
        <v>82</v>
      </c>
      <c r="I172" s="17" t="n">
        <v>0</v>
      </c>
      <c r="J172" s="17" t="n"/>
      <c r="K172" s="17" t="inlineStr">
        <is>
          <t>Exited Early</t>
        </is>
      </c>
      <c r="L172" s="17" t="inlineStr">
        <is>
          <t>Free</t>
        </is>
      </c>
      <c r="M172" s="17" t="n">
        <v>17</v>
      </c>
      <c r="N172" s="17" t="inlineStr">
        <is>
          <t>No</t>
        </is>
      </c>
    </row>
    <row r="173">
      <c r="A173" s="17" t="inlineStr">
        <is>
          <t>S00169</t>
        </is>
      </c>
      <c r="B173" s="17" t="inlineStr">
        <is>
          <t>P1828</t>
        </is>
      </c>
      <c r="C173" s="17" t="inlineStr">
        <is>
          <t>fray</t>
        </is>
      </c>
      <c r="D173" s="17" t="inlineStr">
        <is>
          <t>SpeedX</t>
        </is>
      </c>
      <c r="E173" s="17" t="inlineStr">
        <is>
          <t>Mobile</t>
        </is>
      </c>
      <c r="F173" s="17" t="inlineStr">
        <is>
          <t>North</t>
        </is>
      </c>
      <c r="G173" s="17" t="inlineStr">
        <is>
          <t>2025-04-15</t>
        </is>
      </c>
      <c r="H173" s="17" t="n">
        <v>35</v>
      </c>
      <c r="I173" s="17" t="n">
        <v>0</v>
      </c>
      <c r="J173" s="17" t="n"/>
      <c r="K173" s="17" t="inlineStr">
        <is>
          <t>Completed</t>
        </is>
      </c>
      <c r="L173" s="17" t="inlineStr">
        <is>
          <t>Free</t>
        </is>
      </c>
      <c r="M173" s="17" t="n">
        <v>46</v>
      </c>
      <c r="N173" s="17" t="inlineStr">
        <is>
          <t>No</t>
        </is>
      </c>
    </row>
    <row r="174">
      <c r="A174" s="17" t="inlineStr">
        <is>
          <t>S00170</t>
        </is>
      </c>
      <c r="B174" s="17" t="inlineStr">
        <is>
          <t>P1330</t>
        </is>
      </c>
      <c r="C174" s="17" t="inlineStr">
        <is>
          <t>weaverdaniel</t>
        </is>
      </c>
      <c r="D174" s="17" t="inlineStr">
        <is>
          <t>Zombie Rush</t>
        </is>
      </c>
      <c r="E174" s="17" t="inlineStr">
        <is>
          <t>PC</t>
        </is>
      </c>
      <c r="F174" s="17" t="inlineStr">
        <is>
          <t>West</t>
        </is>
      </c>
      <c r="G174" s="17" t="inlineStr">
        <is>
          <t>2025-06-08</t>
        </is>
      </c>
      <c r="H174" s="17" t="n">
        <v>168</v>
      </c>
      <c r="I174" s="17" t="n">
        <v>0</v>
      </c>
      <c r="J174" s="17" t="n"/>
      <c r="K174" s="17" t="inlineStr">
        <is>
          <t>Completed</t>
        </is>
      </c>
      <c r="L174" s="17" t="inlineStr">
        <is>
          <t>Free</t>
        </is>
      </c>
      <c r="M174" s="17" t="n">
        <v>18</v>
      </c>
      <c r="N174" s="17" t="inlineStr">
        <is>
          <t>Yes</t>
        </is>
      </c>
    </row>
    <row r="175">
      <c r="A175" s="17" t="inlineStr">
        <is>
          <t>S00171</t>
        </is>
      </c>
      <c r="B175" s="17" t="inlineStr">
        <is>
          <t>P4426</t>
        </is>
      </c>
      <c r="C175" s="17" t="inlineStr">
        <is>
          <t>joe22</t>
        </is>
      </c>
      <c r="D175" s="17" t="inlineStr">
        <is>
          <t>Clash of Realms</t>
        </is>
      </c>
      <c r="E175" s="17" t="inlineStr">
        <is>
          <t>Console</t>
        </is>
      </c>
      <c r="F175" s="17" t="inlineStr">
        <is>
          <t>North-East</t>
        </is>
      </c>
      <c r="G175" s="17" t="inlineStr">
        <is>
          <t>2025-04-09</t>
        </is>
      </c>
      <c r="H175" s="17" t="n">
        <v>123</v>
      </c>
      <c r="I175" s="17" t="n">
        <v>0</v>
      </c>
      <c r="J175" s="17" t="n"/>
      <c r="K175" s="17" t="inlineStr">
        <is>
          <t>Crashed</t>
        </is>
      </c>
      <c r="L175" s="17" t="inlineStr">
        <is>
          <t>Paid</t>
        </is>
      </c>
      <c r="M175" s="17" t="n">
        <v>47</v>
      </c>
      <c r="N175" s="17" t="inlineStr">
        <is>
          <t>No</t>
        </is>
      </c>
    </row>
    <row r="176">
      <c r="A176" s="17" t="inlineStr">
        <is>
          <t>S00172</t>
        </is>
      </c>
      <c r="B176" s="17" t="inlineStr">
        <is>
          <t>P7943</t>
        </is>
      </c>
      <c r="C176" s="17" t="inlineStr">
        <is>
          <t>vaughnlori</t>
        </is>
      </c>
      <c r="D176" s="17" t="inlineStr">
        <is>
          <t>Clash of Realms</t>
        </is>
      </c>
      <c r="E176" s="17" t="inlineStr">
        <is>
          <t>Mobile</t>
        </is>
      </c>
      <c r="F176" s="17" t="inlineStr">
        <is>
          <t>West</t>
        </is>
      </c>
      <c r="G176" s="17" t="inlineStr">
        <is>
          <t>2025-05-13</t>
        </is>
      </c>
      <c r="H176" s="17" t="n">
        <v>41</v>
      </c>
      <c r="I176" s="17" t="n">
        <v>33.29</v>
      </c>
      <c r="J176" s="17" t="inlineStr">
        <is>
          <t>Boosters</t>
        </is>
      </c>
      <c r="K176" s="17" t="inlineStr">
        <is>
          <t>Completed</t>
        </is>
      </c>
      <c r="L176" s="17" t="inlineStr">
        <is>
          <t>Paid</t>
        </is>
      </c>
      <c r="M176" s="17" t="n">
        <v>29</v>
      </c>
      <c r="N176" s="17" t="inlineStr">
        <is>
          <t>No</t>
        </is>
      </c>
    </row>
    <row r="177">
      <c r="A177" s="17" t="inlineStr">
        <is>
          <t>S00173</t>
        </is>
      </c>
      <c r="B177" s="17" t="inlineStr">
        <is>
          <t>P7565</t>
        </is>
      </c>
      <c r="C177" s="17" t="inlineStr">
        <is>
          <t>ambersmith</t>
        </is>
      </c>
      <c r="D177" s="17" t="inlineStr">
        <is>
          <t>Zombie Rush</t>
        </is>
      </c>
      <c r="E177" s="17" t="inlineStr">
        <is>
          <t>Console</t>
        </is>
      </c>
      <c r="F177" s="17" t="inlineStr">
        <is>
          <t>Central</t>
        </is>
      </c>
      <c r="G177" s="17" t="inlineStr">
        <is>
          <t>2024-12-30</t>
        </is>
      </c>
      <c r="H177" s="17" t="n">
        <v>156</v>
      </c>
      <c r="I177" s="17" t="n">
        <v>0</v>
      </c>
      <c r="J177" s="17" t="n"/>
      <c r="K177" s="17" t="inlineStr">
        <is>
          <t>Completed</t>
        </is>
      </c>
      <c r="L177" s="17" t="inlineStr">
        <is>
          <t>Free</t>
        </is>
      </c>
      <c r="M177" s="17" t="n">
        <v>34</v>
      </c>
      <c r="N177" s="17" t="inlineStr">
        <is>
          <t>Yes</t>
        </is>
      </c>
    </row>
    <row r="178">
      <c r="A178" s="17" t="inlineStr">
        <is>
          <t>S00174</t>
        </is>
      </c>
      <c r="B178" s="17" t="inlineStr">
        <is>
          <t>P4796</t>
        </is>
      </c>
      <c r="C178" s="17" t="inlineStr">
        <is>
          <t>okoch</t>
        </is>
      </c>
      <c r="D178" s="17" t="inlineStr">
        <is>
          <t>Clash of Realms</t>
        </is>
      </c>
      <c r="E178" s="17" t="inlineStr">
        <is>
          <t>PC</t>
        </is>
      </c>
      <c r="F178" s="17" t="inlineStr">
        <is>
          <t>West</t>
        </is>
      </c>
      <c r="G178" s="17" t="inlineStr">
        <is>
          <t>2025-02-28</t>
        </is>
      </c>
      <c r="H178" s="17" t="n">
        <v>84</v>
      </c>
      <c r="I178" s="17" t="n">
        <v>0</v>
      </c>
      <c r="J178" s="17" t="n"/>
      <c r="K178" s="17" t="inlineStr">
        <is>
          <t>Completed</t>
        </is>
      </c>
      <c r="L178" s="17" t="inlineStr">
        <is>
          <t>Free</t>
        </is>
      </c>
      <c r="M178" s="17" t="n">
        <v>15</v>
      </c>
      <c r="N178" s="17" t="inlineStr">
        <is>
          <t>No</t>
        </is>
      </c>
    </row>
    <row r="179">
      <c r="A179" s="17" t="inlineStr">
        <is>
          <t>S00175</t>
        </is>
      </c>
      <c r="B179" s="17" t="inlineStr">
        <is>
          <t>P6406</t>
        </is>
      </c>
      <c r="C179" s="17" t="inlineStr">
        <is>
          <t>shannonevans</t>
        </is>
      </c>
      <c r="D179" s="17" t="inlineStr">
        <is>
          <t>SpeedX</t>
        </is>
      </c>
      <c r="E179" s="17" t="inlineStr">
        <is>
          <t>Console</t>
        </is>
      </c>
      <c r="F179" s="17" t="inlineStr">
        <is>
          <t>East</t>
        </is>
      </c>
      <c r="G179" s="17" t="inlineStr">
        <is>
          <t>2025-02-27</t>
        </is>
      </c>
      <c r="H179" s="17" t="n">
        <v>138</v>
      </c>
      <c r="I179" s="17" t="n">
        <v>27.01</v>
      </c>
      <c r="J179" s="17" t="inlineStr">
        <is>
          <t>Boosters</t>
        </is>
      </c>
      <c r="K179" s="17" t="inlineStr">
        <is>
          <t>Completed</t>
        </is>
      </c>
      <c r="L179" s="17" t="inlineStr">
        <is>
          <t>Paid</t>
        </is>
      </c>
      <c r="M179" s="17" t="n">
        <v>18</v>
      </c>
      <c r="N179" s="17" t="inlineStr">
        <is>
          <t>No</t>
        </is>
      </c>
    </row>
    <row r="180">
      <c r="A180" s="17" t="inlineStr">
        <is>
          <t>S00176</t>
        </is>
      </c>
      <c r="B180" s="17" t="inlineStr">
        <is>
          <t>P3229</t>
        </is>
      </c>
      <c r="C180" s="17" t="inlineStr">
        <is>
          <t>gina94</t>
        </is>
      </c>
      <c r="D180" s="17" t="inlineStr">
        <is>
          <t>Empire Wars</t>
        </is>
      </c>
      <c r="E180" s="17" t="inlineStr">
        <is>
          <t>Mobile</t>
        </is>
      </c>
      <c r="F180" s="17" t="inlineStr">
        <is>
          <t>West</t>
        </is>
      </c>
      <c r="G180" s="17" t="inlineStr">
        <is>
          <t>2025-05-17</t>
        </is>
      </c>
      <c r="H180" s="17" t="n">
        <v>26</v>
      </c>
      <c r="I180" s="17" t="n">
        <v>0</v>
      </c>
      <c r="J180" s="17" t="n"/>
      <c r="K180" s="17" t="inlineStr">
        <is>
          <t>Completed</t>
        </is>
      </c>
      <c r="L180" s="17" t="inlineStr">
        <is>
          <t>Free</t>
        </is>
      </c>
      <c r="M180" s="17" t="n">
        <v>22</v>
      </c>
      <c r="N180" s="17" t="inlineStr">
        <is>
          <t>No</t>
        </is>
      </c>
    </row>
    <row r="181">
      <c r="A181" s="17" t="inlineStr">
        <is>
          <t>S00177</t>
        </is>
      </c>
      <c r="B181" s="17" t="inlineStr">
        <is>
          <t>P4485</t>
        </is>
      </c>
      <c r="C181" s="17" t="inlineStr">
        <is>
          <t>iyoung</t>
        </is>
      </c>
      <c r="D181" s="17" t="inlineStr">
        <is>
          <t>Clash of Realms</t>
        </is>
      </c>
      <c r="E181" s="17" t="inlineStr">
        <is>
          <t>Mobile</t>
        </is>
      </c>
      <c r="F181" s="17" t="inlineStr">
        <is>
          <t>East</t>
        </is>
      </c>
      <c r="G181" s="17" t="inlineStr">
        <is>
          <t>2025-05-29</t>
        </is>
      </c>
      <c r="H181" s="17" t="n">
        <v>111</v>
      </c>
      <c r="I181" s="17" t="n">
        <v>0</v>
      </c>
      <c r="J181" s="17" t="n"/>
      <c r="K181" s="17" t="inlineStr">
        <is>
          <t>Completed</t>
        </is>
      </c>
      <c r="L181" s="17" t="inlineStr">
        <is>
          <t>Free</t>
        </is>
      </c>
      <c r="M181" s="17" t="n">
        <v>26</v>
      </c>
      <c r="N181" s="17" t="inlineStr">
        <is>
          <t>No</t>
        </is>
      </c>
    </row>
    <row r="182">
      <c r="A182" s="17" t="inlineStr">
        <is>
          <t>S00178</t>
        </is>
      </c>
      <c r="B182" s="17" t="inlineStr">
        <is>
          <t>P4333</t>
        </is>
      </c>
      <c r="C182" s="17" t="inlineStr">
        <is>
          <t>matthewcasey</t>
        </is>
      </c>
      <c r="D182" s="17" t="inlineStr">
        <is>
          <t>Empire Wars</t>
        </is>
      </c>
      <c r="E182" s="17" t="inlineStr">
        <is>
          <t>Mobile</t>
        </is>
      </c>
      <c r="F182" s="17" t="inlineStr">
        <is>
          <t>North</t>
        </is>
      </c>
      <c r="G182" s="17" t="inlineStr">
        <is>
          <t>2025-01-05</t>
        </is>
      </c>
      <c r="H182" s="17" t="n">
        <v>100</v>
      </c>
      <c r="I182" s="17" t="n">
        <v>0</v>
      </c>
      <c r="J182" s="17" t="n"/>
      <c r="K182" s="17" t="inlineStr">
        <is>
          <t>Completed</t>
        </is>
      </c>
      <c r="L182" s="17" t="inlineStr">
        <is>
          <t>Free</t>
        </is>
      </c>
      <c r="M182" s="17" t="n">
        <v>7</v>
      </c>
      <c r="N182" s="17" t="inlineStr">
        <is>
          <t>No</t>
        </is>
      </c>
    </row>
    <row r="183">
      <c r="A183" s="17" t="inlineStr">
        <is>
          <t>S00179</t>
        </is>
      </c>
      <c r="B183" s="17" t="inlineStr">
        <is>
          <t>P3013</t>
        </is>
      </c>
      <c r="C183" s="17" t="inlineStr">
        <is>
          <t>smayo</t>
        </is>
      </c>
      <c r="D183" s="17" t="inlineStr">
        <is>
          <t>Empire Wars</t>
        </is>
      </c>
      <c r="E183" s="17" t="inlineStr">
        <is>
          <t>Mobile</t>
        </is>
      </c>
      <c r="F183" s="17" t="inlineStr">
        <is>
          <t>West</t>
        </is>
      </c>
      <c r="G183" s="17" t="inlineStr">
        <is>
          <t>2025-05-24</t>
        </is>
      </c>
      <c r="H183" s="17" t="n">
        <v>84</v>
      </c>
      <c r="I183" s="17" t="n">
        <v>0</v>
      </c>
      <c r="J183" s="17" t="n"/>
      <c r="K183" s="17" t="inlineStr">
        <is>
          <t>Completed</t>
        </is>
      </c>
      <c r="L183" s="17" t="inlineStr">
        <is>
          <t>Free</t>
        </is>
      </c>
      <c r="M183" s="17" t="n">
        <v>36</v>
      </c>
      <c r="N183" s="17" t="inlineStr">
        <is>
          <t>No</t>
        </is>
      </c>
    </row>
    <row r="184">
      <c r="A184" s="17" t="inlineStr">
        <is>
          <t>S00180</t>
        </is>
      </c>
      <c r="B184" s="17" t="inlineStr">
        <is>
          <t>P9205</t>
        </is>
      </c>
      <c r="C184" s="17" t="inlineStr">
        <is>
          <t>douglas13</t>
        </is>
      </c>
      <c r="D184" s="17" t="inlineStr">
        <is>
          <t>Zombie Rush</t>
        </is>
      </c>
      <c r="E184" s="17" t="inlineStr">
        <is>
          <t>PC</t>
        </is>
      </c>
      <c r="F184" s="17" t="inlineStr">
        <is>
          <t>South</t>
        </is>
      </c>
      <c r="G184" s="17" t="inlineStr">
        <is>
          <t>2025-03-27</t>
        </is>
      </c>
      <c r="H184" s="17" t="n">
        <v>90</v>
      </c>
      <c r="I184" s="17" t="n">
        <v>33.43</v>
      </c>
      <c r="J184" s="17" t="inlineStr">
        <is>
          <t>Boosters</t>
        </is>
      </c>
      <c r="K184" s="17" t="inlineStr">
        <is>
          <t>Exited Early</t>
        </is>
      </c>
      <c r="L184" s="17" t="inlineStr">
        <is>
          <t>Paid</t>
        </is>
      </c>
      <c r="M184" s="17" t="n">
        <v>50</v>
      </c>
      <c r="N184" s="17" t="inlineStr">
        <is>
          <t>No</t>
        </is>
      </c>
    </row>
    <row r="185">
      <c r="A185" s="17" t="inlineStr">
        <is>
          <t>S00181</t>
        </is>
      </c>
      <c r="B185" s="17" t="inlineStr">
        <is>
          <t>P2490</t>
        </is>
      </c>
      <c r="C185" s="17" t="inlineStr">
        <is>
          <t>bakerjohn</t>
        </is>
      </c>
      <c r="D185" s="17" t="inlineStr">
        <is>
          <t>Empire Wars</t>
        </is>
      </c>
      <c r="E185" s="17" t="inlineStr">
        <is>
          <t>PC</t>
        </is>
      </c>
      <c r="F185" s="17" t="inlineStr">
        <is>
          <t>North</t>
        </is>
      </c>
      <c r="G185" s="17" t="inlineStr">
        <is>
          <t>2025-05-22</t>
        </is>
      </c>
      <c r="H185" s="17" t="n">
        <v>61</v>
      </c>
      <c r="I185" s="17" t="n">
        <v>23.71</v>
      </c>
      <c r="J185" s="17" t="inlineStr">
        <is>
          <t>Battle Pass</t>
        </is>
      </c>
      <c r="K185" s="17" t="inlineStr">
        <is>
          <t>Completed</t>
        </is>
      </c>
      <c r="L185" s="17" t="inlineStr">
        <is>
          <t>Paid</t>
        </is>
      </c>
      <c r="M185" s="17" t="n">
        <v>37</v>
      </c>
      <c r="N185" s="17" t="inlineStr">
        <is>
          <t>No</t>
        </is>
      </c>
    </row>
    <row r="186">
      <c r="A186" s="17" t="inlineStr">
        <is>
          <t>S00182</t>
        </is>
      </c>
      <c r="B186" s="17" t="inlineStr">
        <is>
          <t>P3609</t>
        </is>
      </c>
      <c r="C186" s="17" t="inlineStr">
        <is>
          <t>brianlopez</t>
        </is>
      </c>
      <c r="D186" s="17" t="inlineStr">
        <is>
          <t>Zombie Rush</t>
        </is>
      </c>
      <c r="E186" s="17" t="inlineStr">
        <is>
          <t>Console</t>
        </is>
      </c>
      <c r="F186" s="17" t="inlineStr">
        <is>
          <t>North</t>
        </is>
      </c>
      <c r="G186" s="17" t="inlineStr">
        <is>
          <t>2025-04-01</t>
        </is>
      </c>
      <c r="H186" s="17" t="n">
        <v>88</v>
      </c>
      <c r="I186" s="17" t="n">
        <v>0</v>
      </c>
      <c r="J186" s="17" t="n"/>
      <c r="K186" s="17" t="inlineStr">
        <is>
          <t>Completed</t>
        </is>
      </c>
      <c r="L186" s="17" t="inlineStr">
        <is>
          <t>Free</t>
        </is>
      </c>
      <c r="M186" s="17" t="n">
        <v>39</v>
      </c>
      <c r="N186" s="17" t="inlineStr">
        <is>
          <t>No</t>
        </is>
      </c>
    </row>
    <row r="187">
      <c r="A187" s="17" t="inlineStr">
        <is>
          <t>S00183</t>
        </is>
      </c>
      <c r="B187" s="17" t="inlineStr">
        <is>
          <t>P2506</t>
        </is>
      </c>
      <c r="C187" s="17" t="inlineStr">
        <is>
          <t>troberts</t>
        </is>
      </c>
      <c r="D187" s="17" t="inlineStr">
        <is>
          <t>BattleZone</t>
        </is>
      </c>
      <c r="E187" s="17" t="inlineStr">
        <is>
          <t>Console</t>
        </is>
      </c>
      <c r="F187" s="17" t="inlineStr">
        <is>
          <t>Central</t>
        </is>
      </c>
      <c r="G187" s="17" t="inlineStr">
        <is>
          <t>2025-01-25</t>
        </is>
      </c>
      <c r="H187" s="17" t="n">
        <v>56</v>
      </c>
      <c r="I187" s="17" t="n">
        <v>0</v>
      </c>
      <c r="J187" s="17" t="n"/>
      <c r="K187" s="17" t="inlineStr">
        <is>
          <t>Completed</t>
        </is>
      </c>
      <c r="L187" s="17" t="inlineStr">
        <is>
          <t>Free</t>
        </is>
      </c>
      <c r="M187" s="17" t="n">
        <v>1</v>
      </c>
      <c r="N187" s="17" t="inlineStr">
        <is>
          <t>No</t>
        </is>
      </c>
    </row>
    <row r="188">
      <c r="A188" s="17" t="inlineStr">
        <is>
          <t>S00184</t>
        </is>
      </c>
      <c r="B188" s="17" t="inlineStr">
        <is>
          <t>P6474</t>
        </is>
      </c>
      <c r="C188" s="17" t="inlineStr">
        <is>
          <t>robertmassey</t>
        </is>
      </c>
      <c r="D188" s="17" t="inlineStr">
        <is>
          <t>Empire Wars</t>
        </is>
      </c>
      <c r="E188" s="17" t="inlineStr">
        <is>
          <t>Console</t>
        </is>
      </c>
      <c r="F188" s="17" t="inlineStr">
        <is>
          <t>Central</t>
        </is>
      </c>
      <c r="G188" s="17" t="inlineStr">
        <is>
          <t>2025-02-05</t>
        </is>
      </c>
      <c r="H188" s="17" t="n">
        <v>54</v>
      </c>
      <c r="I188" s="17" t="n">
        <v>0</v>
      </c>
      <c r="J188" s="17" t="n"/>
      <c r="K188" s="17" t="inlineStr">
        <is>
          <t>Completed</t>
        </is>
      </c>
      <c r="L188" s="17" t="inlineStr">
        <is>
          <t>Free</t>
        </is>
      </c>
      <c r="M188" s="17" t="n">
        <v>49</v>
      </c>
      <c r="N188" s="17" t="inlineStr">
        <is>
          <t>No</t>
        </is>
      </c>
    </row>
    <row r="189">
      <c r="A189" s="17" t="inlineStr">
        <is>
          <t>S00185</t>
        </is>
      </c>
      <c r="B189" s="17" t="inlineStr">
        <is>
          <t>P5211</t>
        </is>
      </c>
      <c r="C189" s="17" t="inlineStr">
        <is>
          <t>ynovak</t>
        </is>
      </c>
      <c r="D189" s="17" t="inlineStr">
        <is>
          <t>Clash of Realms</t>
        </is>
      </c>
      <c r="E189" s="17" t="inlineStr">
        <is>
          <t>PC</t>
        </is>
      </c>
      <c r="F189" s="17" t="inlineStr">
        <is>
          <t>North-East</t>
        </is>
      </c>
      <c r="G189" s="17" t="inlineStr">
        <is>
          <t>2025-02-25</t>
        </is>
      </c>
      <c r="H189" s="17" t="n">
        <v>27</v>
      </c>
      <c r="I189" s="17" t="n">
        <v>0</v>
      </c>
      <c r="J189" s="17" t="n"/>
      <c r="K189" s="17" t="inlineStr">
        <is>
          <t>Completed</t>
        </is>
      </c>
      <c r="L189" s="17" t="inlineStr">
        <is>
          <t>Paid</t>
        </is>
      </c>
      <c r="M189" s="17" t="n">
        <v>29</v>
      </c>
      <c r="N189" s="17" t="inlineStr">
        <is>
          <t>No</t>
        </is>
      </c>
    </row>
    <row r="190">
      <c r="A190" s="17" t="inlineStr">
        <is>
          <t>S00186</t>
        </is>
      </c>
      <c r="B190" s="17" t="inlineStr">
        <is>
          <t>P7900</t>
        </is>
      </c>
      <c r="C190" s="17" t="inlineStr">
        <is>
          <t>colinmartinez</t>
        </is>
      </c>
      <c r="D190" s="17" t="inlineStr">
        <is>
          <t>SpeedX</t>
        </is>
      </c>
      <c r="E190" s="17" t="inlineStr">
        <is>
          <t>PC</t>
        </is>
      </c>
      <c r="F190" s="17" t="inlineStr">
        <is>
          <t>West</t>
        </is>
      </c>
      <c r="G190" s="17" t="inlineStr">
        <is>
          <t>2024-12-18</t>
        </is>
      </c>
      <c r="H190" s="17" t="n">
        <v>30</v>
      </c>
      <c r="I190" s="17" t="n">
        <v>27.43</v>
      </c>
      <c r="J190" s="17" t="inlineStr">
        <is>
          <t>Subscriptions</t>
        </is>
      </c>
      <c r="K190" s="17" t="inlineStr">
        <is>
          <t>Completed</t>
        </is>
      </c>
      <c r="L190" s="17" t="inlineStr">
        <is>
          <t>Paid</t>
        </is>
      </c>
      <c r="M190" s="17" t="n">
        <v>1</v>
      </c>
      <c r="N190" s="17" t="inlineStr">
        <is>
          <t>No</t>
        </is>
      </c>
    </row>
    <row r="191">
      <c r="A191" s="17" t="inlineStr">
        <is>
          <t>S00187</t>
        </is>
      </c>
      <c r="B191" s="17" t="inlineStr">
        <is>
          <t>P6989</t>
        </is>
      </c>
      <c r="C191" s="17" t="inlineStr">
        <is>
          <t>schultzkatherine</t>
        </is>
      </c>
      <c r="D191" s="17" t="inlineStr">
        <is>
          <t>BattleZone</t>
        </is>
      </c>
      <c r="E191" s="17" t="inlineStr">
        <is>
          <t>PC</t>
        </is>
      </c>
      <c r="F191" s="17" t="inlineStr">
        <is>
          <t>West</t>
        </is>
      </c>
      <c r="G191" s="17" t="inlineStr">
        <is>
          <t>2025-02-26</t>
        </is>
      </c>
      <c r="H191" s="17" t="n">
        <v>128</v>
      </c>
      <c r="I191" s="17" t="n">
        <v>0</v>
      </c>
      <c r="J191" s="17" t="n"/>
      <c r="K191" s="17" t="inlineStr">
        <is>
          <t>Crashed</t>
        </is>
      </c>
      <c r="L191" s="17" t="inlineStr">
        <is>
          <t>Free</t>
        </is>
      </c>
      <c r="M191" s="17" t="n">
        <v>36</v>
      </c>
      <c r="N191" s="17" t="inlineStr">
        <is>
          <t>No</t>
        </is>
      </c>
    </row>
    <row r="192">
      <c r="A192" s="17" t="inlineStr">
        <is>
          <t>S00188</t>
        </is>
      </c>
      <c r="B192" s="17" t="inlineStr">
        <is>
          <t>P5714</t>
        </is>
      </c>
      <c r="C192" s="17" t="inlineStr">
        <is>
          <t>romerostephanie</t>
        </is>
      </c>
      <c r="D192" s="17" t="inlineStr">
        <is>
          <t>BattleZone</t>
        </is>
      </c>
      <c r="E192" s="17" t="inlineStr">
        <is>
          <t>Console</t>
        </is>
      </c>
      <c r="F192" s="17" t="inlineStr">
        <is>
          <t>North</t>
        </is>
      </c>
      <c r="G192" s="17" t="inlineStr">
        <is>
          <t>2025-02-28</t>
        </is>
      </c>
      <c r="H192" s="17" t="n">
        <v>16</v>
      </c>
      <c r="I192" s="17" t="n">
        <v>36</v>
      </c>
      <c r="J192" s="17" t="inlineStr">
        <is>
          <t>Skins</t>
        </is>
      </c>
      <c r="K192" s="17" t="inlineStr">
        <is>
          <t>Completed</t>
        </is>
      </c>
      <c r="L192" s="17" t="inlineStr">
        <is>
          <t>Paid</t>
        </is>
      </c>
      <c r="M192" s="17" t="n">
        <v>40</v>
      </c>
      <c r="N192" s="17" t="inlineStr">
        <is>
          <t>No</t>
        </is>
      </c>
    </row>
    <row r="193">
      <c r="A193" s="17" t="inlineStr">
        <is>
          <t>S00189</t>
        </is>
      </c>
      <c r="B193" s="17" t="inlineStr">
        <is>
          <t>P4279</t>
        </is>
      </c>
      <c r="C193" s="17" t="inlineStr">
        <is>
          <t>otaylor</t>
        </is>
      </c>
      <c r="D193" s="17" t="inlineStr">
        <is>
          <t>Clash of Realms</t>
        </is>
      </c>
      <c r="E193" s="17" t="inlineStr">
        <is>
          <t>Console</t>
        </is>
      </c>
      <c r="F193" s="17" t="inlineStr">
        <is>
          <t>Central</t>
        </is>
      </c>
      <c r="G193" s="17" t="inlineStr">
        <is>
          <t>2025-05-23</t>
        </is>
      </c>
      <c r="H193" s="17" t="n">
        <v>57</v>
      </c>
      <c r="I193" s="17" t="n">
        <v>0</v>
      </c>
      <c r="J193" s="17" t="n"/>
      <c r="K193" s="17" t="inlineStr">
        <is>
          <t>Completed</t>
        </is>
      </c>
      <c r="L193" s="17" t="inlineStr">
        <is>
          <t>Free</t>
        </is>
      </c>
      <c r="M193" s="17" t="n">
        <v>18</v>
      </c>
      <c r="N193" s="17" t="inlineStr">
        <is>
          <t>No</t>
        </is>
      </c>
    </row>
    <row r="194">
      <c r="A194" s="17" t="inlineStr">
        <is>
          <t>S00190</t>
        </is>
      </c>
      <c r="B194" s="17" t="inlineStr">
        <is>
          <t>P5227</t>
        </is>
      </c>
      <c r="C194" s="17" t="inlineStr">
        <is>
          <t>snguyen</t>
        </is>
      </c>
      <c r="D194" s="17" t="inlineStr">
        <is>
          <t>BattleZone</t>
        </is>
      </c>
      <c r="E194" s="17" t="inlineStr">
        <is>
          <t>Console</t>
        </is>
      </c>
      <c r="F194" s="17" t="inlineStr">
        <is>
          <t>West</t>
        </is>
      </c>
      <c r="G194" s="17" t="inlineStr">
        <is>
          <t>2025-05-20</t>
        </is>
      </c>
      <c r="H194" s="17" t="n">
        <v>153</v>
      </c>
      <c r="I194" s="17" t="n">
        <v>0</v>
      </c>
      <c r="J194" s="17" t="n"/>
      <c r="K194" s="17" t="inlineStr">
        <is>
          <t>Completed</t>
        </is>
      </c>
      <c r="L194" s="17" t="inlineStr">
        <is>
          <t>Free</t>
        </is>
      </c>
      <c r="M194" s="17" t="n">
        <v>1</v>
      </c>
      <c r="N194" s="17" t="inlineStr">
        <is>
          <t>Yes</t>
        </is>
      </c>
    </row>
    <row r="195">
      <c r="A195" s="17" t="inlineStr">
        <is>
          <t>S00191</t>
        </is>
      </c>
      <c r="B195" s="17" t="inlineStr">
        <is>
          <t>P6734</t>
        </is>
      </c>
      <c r="C195" s="17" t="inlineStr">
        <is>
          <t>christine87</t>
        </is>
      </c>
      <c r="D195" s="17" t="inlineStr">
        <is>
          <t>BattleZone</t>
        </is>
      </c>
      <c r="E195" s="17" t="inlineStr">
        <is>
          <t>Mobile</t>
        </is>
      </c>
      <c r="F195" s="17" t="inlineStr">
        <is>
          <t>West</t>
        </is>
      </c>
      <c r="G195" s="17" t="inlineStr">
        <is>
          <t>2025-01-25</t>
        </is>
      </c>
      <c r="H195" s="17" t="n">
        <v>130</v>
      </c>
      <c r="I195" s="17" t="n">
        <v>0</v>
      </c>
      <c r="J195" s="17" t="n"/>
      <c r="K195" s="17" t="inlineStr">
        <is>
          <t>Completed</t>
        </is>
      </c>
      <c r="L195" s="17" t="inlineStr">
        <is>
          <t>Paid</t>
        </is>
      </c>
      <c r="M195" s="17" t="n">
        <v>8</v>
      </c>
      <c r="N195" s="17" t="inlineStr">
        <is>
          <t>No</t>
        </is>
      </c>
    </row>
    <row r="196">
      <c r="A196" s="17" t="inlineStr">
        <is>
          <t>S00192</t>
        </is>
      </c>
      <c r="B196" s="17" t="inlineStr">
        <is>
          <t>P2833</t>
        </is>
      </c>
      <c r="C196" s="17" t="inlineStr">
        <is>
          <t>kerry23</t>
        </is>
      </c>
      <c r="D196" s="17" t="inlineStr">
        <is>
          <t>Empire Wars</t>
        </is>
      </c>
      <c r="E196" s="17" t="inlineStr">
        <is>
          <t>PC</t>
        </is>
      </c>
      <c r="F196" s="17" t="inlineStr">
        <is>
          <t>East</t>
        </is>
      </c>
      <c r="G196" s="17" t="inlineStr">
        <is>
          <t>2024-12-24</t>
        </is>
      </c>
      <c r="H196" s="17" t="n">
        <v>47</v>
      </c>
      <c r="I196" s="17" t="n">
        <v>12.41</v>
      </c>
      <c r="J196" s="17" t="inlineStr">
        <is>
          <t>Subscriptions</t>
        </is>
      </c>
      <c r="K196" s="17" t="inlineStr">
        <is>
          <t>Completed</t>
        </is>
      </c>
      <c r="L196" s="17" t="inlineStr">
        <is>
          <t>Paid</t>
        </is>
      </c>
      <c r="M196" s="17" t="n">
        <v>36</v>
      </c>
      <c r="N196" s="17" t="inlineStr">
        <is>
          <t>No</t>
        </is>
      </c>
    </row>
    <row r="197">
      <c r="A197" s="17" t="inlineStr">
        <is>
          <t>S00193</t>
        </is>
      </c>
      <c r="B197" s="17" t="inlineStr">
        <is>
          <t>P3866</t>
        </is>
      </c>
      <c r="C197" s="17" t="inlineStr">
        <is>
          <t>natashamartin</t>
        </is>
      </c>
      <c r="D197" s="17" t="inlineStr">
        <is>
          <t>Clash of Realms</t>
        </is>
      </c>
      <c r="E197" s="17" t="inlineStr">
        <is>
          <t>PC</t>
        </is>
      </c>
      <c r="F197" s="17" t="inlineStr">
        <is>
          <t>North-East</t>
        </is>
      </c>
      <c r="G197" s="17" t="inlineStr">
        <is>
          <t>2025-03-01</t>
        </is>
      </c>
      <c r="H197" s="17" t="n">
        <v>53</v>
      </c>
      <c r="I197" s="17" t="n">
        <v>0</v>
      </c>
      <c r="J197" s="17" t="n"/>
      <c r="K197" s="17" t="inlineStr">
        <is>
          <t>Incomplete</t>
        </is>
      </c>
      <c r="L197" s="17" t="inlineStr">
        <is>
          <t>Free</t>
        </is>
      </c>
      <c r="M197" s="17" t="n">
        <v>28</v>
      </c>
      <c r="N197" s="17" t="inlineStr">
        <is>
          <t>No</t>
        </is>
      </c>
    </row>
    <row r="198">
      <c r="A198" s="17" t="inlineStr">
        <is>
          <t>S00194</t>
        </is>
      </c>
      <c r="B198" s="17" t="inlineStr">
        <is>
          <t>P9566</t>
        </is>
      </c>
      <c r="C198" s="17" t="inlineStr">
        <is>
          <t>rileyjason</t>
        </is>
      </c>
      <c r="D198" s="17" t="inlineStr">
        <is>
          <t>BattleZone</t>
        </is>
      </c>
      <c r="E198" s="17" t="inlineStr">
        <is>
          <t>PC</t>
        </is>
      </c>
      <c r="F198" s="17" t="inlineStr">
        <is>
          <t>South</t>
        </is>
      </c>
      <c r="G198" s="17" t="inlineStr">
        <is>
          <t>2025-03-30</t>
        </is>
      </c>
      <c r="H198" s="17" t="n">
        <v>19</v>
      </c>
      <c r="I198" s="17" t="n">
        <v>0</v>
      </c>
      <c r="J198" s="17" t="n"/>
      <c r="K198" s="17" t="inlineStr">
        <is>
          <t>Completed</t>
        </is>
      </c>
      <c r="L198" s="17" t="inlineStr">
        <is>
          <t>Free</t>
        </is>
      </c>
      <c r="M198" s="17" t="n">
        <v>27</v>
      </c>
      <c r="N198" s="17" t="inlineStr">
        <is>
          <t>No</t>
        </is>
      </c>
    </row>
    <row r="199">
      <c r="A199" s="17" t="inlineStr">
        <is>
          <t>S00195</t>
        </is>
      </c>
      <c r="B199" s="17" t="inlineStr">
        <is>
          <t>P1819</t>
        </is>
      </c>
      <c r="C199" s="17" t="inlineStr">
        <is>
          <t>garciadanielle</t>
        </is>
      </c>
      <c r="D199" s="17" t="inlineStr">
        <is>
          <t>Zombie Rush</t>
        </is>
      </c>
      <c r="E199" s="17" t="inlineStr">
        <is>
          <t>Mobile</t>
        </is>
      </c>
      <c r="F199" s="17" t="inlineStr">
        <is>
          <t>East</t>
        </is>
      </c>
      <c r="G199" s="17" t="inlineStr">
        <is>
          <t>2024-12-28</t>
        </is>
      </c>
      <c r="H199" s="17" t="n">
        <v>117</v>
      </c>
      <c r="I199" s="17" t="n">
        <v>0</v>
      </c>
      <c r="J199" s="17" t="n"/>
      <c r="K199" s="17" t="inlineStr">
        <is>
          <t>Completed</t>
        </is>
      </c>
      <c r="L199" s="17" t="inlineStr">
        <is>
          <t>Free</t>
        </is>
      </c>
      <c r="M199" s="17" t="n">
        <v>17</v>
      </c>
      <c r="N199" s="17" t="inlineStr">
        <is>
          <t>No</t>
        </is>
      </c>
    </row>
    <row r="200">
      <c r="A200" s="17" t="inlineStr">
        <is>
          <t>S00196</t>
        </is>
      </c>
      <c r="B200" s="17" t="inlineStr">
        <is>
          <t>P5750</t>
        </is>
      </c>
      <c r="C200" s="17" t="inlineStr">
        <is>
          <t>walterkayla</t>
        </is>
      </c>
      <c r="D200" s="17" t="inlineStr">
        <is>
          <t>BattleZone</t>
        </is>
      </c>
      <c r="E200" s="17" t="inlineStr">
        <is>
          <t>Console</t>
        </is>
      </c>
      <c r="F200" s="17" t="inlineStr">
        <is>
          <t>Central</t>
        </is>
      </c>
      <c r="G200" s="17" t="inlineStr">
        <is>
          <t>2025-01-02</t>
        </is>
      </c>
      <c r="H200" s="17" t="n">
        <v>35</v>
      </c>
      <c r="I200" s="17" t="n">
        <v>18.72</v>
      </c>
      <c r="J200" s="17" t="inlineStr">
        <is>
          <t>Skins</t>
        </is>
      </c>
      <c r="K200" s="17" t="inlineStr">
        <is>
          <t>Completed</t>
        </is>
      </c>
      <c r="L200" s="17" t="inlineStr">
        <is>
          <t>Paid</t>
        </is>
      </c>
      <c r="M200" s="17" t="n">
        <v>20</v>
      </c>
      <c r="N200" s="17" t="inlineStr">
        <is>
          <t>No</t>
        </is>
      </c>
    </row>
    <row r="201">
      <c r="A201" s="17" t="inlineStr">
        <is>
          <t>S00197</t>
        </is>
      </c>
      <c r="B201" s="17" t="inlineStr">
        <is>
          <t>P8044</t>
        </is>
      </c>
      <c r="C201" s="17" t="inlineStr">
        <is>
          <t>henryrosales</t>
        </is>
      </c>
      <c r="D201" s="17" t="inlineStr">
        <is>
          <t>Zombie Rush</t>
        </is>
      </c>
      <c r="E201" s="17" t="inlineStr">
        <is>
          <t>Mobile</t>
        </is>
      </c>
      <c r="F201" s="17" t="inlineStr">
        <is>
          <t>North</t>
        </is>
      </c>
      <c r="G201" s="17" t="inlineStr">
        <is>
          <t>2025-05-11</t>
        </is>
      </c>
      <c r="H201" s="17" t="n">
        <v>138</v>
      </c>
      <c r="I201" s="17" t="n">
        <v>0</v>
      </c>
      <c r="J201" s="17" t="n"/>
      <c r="K201" s="17" t="inlineStr">
        <is>
          <t>Completed</t>
        </is>
      </c>
      <c r="L201" s="17" t="inlineStr">
        <is>
          <t>Free</t>
        </is>
      </c>
      <c r="M201" s="17" t="n">
        <v>47</v>
      </c>
      <c r="N201" s="17" t="inlineStr">
        <is>
          <t>No</t>
        </is>
      </c>
    </row>
    <row r="202">
      <c r="A202" s="17" t="inlineStr">
        <is>
          <t>S00198</t>
        </is>
      </c>
      <c r="B202" s="17" t="inlineStr">
        <is>
          <t>P7656</t>
        </is>
      </c>
      <c r="C202" s="17" t="inlineStr">
        <is>
          <t>nrichmond</t>
        </is>
      </c>
      <c r="D202" s="17" t="inlineStr">
        <is>
          <t>Empire Wars</t>
        </is>
      </c>
      <c r="E202" s="17" t="inlineStr">
        <is>
          <t>Console</t>
        </is>
      </c>
      <c r="F202" s="17" t="inlineStr">
        <is>
          <t>South</t>
        </is>
      </c>
      <c r="G202" s="17" t="inlineStr">
        <is>
          <t>2025-01-30</t>
        </is>
      </c>
      <c r="H202" s="17" t="n">
        <v>45</v>
      </c>
      <c r="I202" s="17" t="n">
        <v>0</v>
      </c>
      <c r="J202" s="17" t="n"/>
      <c r="K202" s="17" t="inlineStr">
        <is>
          <t>Completed</t>
        </is>
      </c>
      <c r="L202" s="17" t="inlineStr">
        <is>
          <t>Free</t>
        </is>
      </c>
      <c r="M202" s="17" t="n">
        <v>24</v>
      </c>
      <c r="N202" s="17" t="inlineStr">
        <is>
          <t>No</t>
        </is>
      </c>
    </row>
    <row r="203">
      <c r="A203" s="17" t="inlineStr">
        <is>
          <t>S00199</t>
        </is>
      </c>
      <c r="B203" s="17" t="inlineStr">
        <is>
          <t>P9860</t>
        </is>
      </c>
      <c r="C203" s="17" t="inlineStr">
        <is>
          <t>andrewbrown</t>
        </is>
      </c>
      <c r="D203" s="17" t="inlineStr">
        <is>
          <t>SpeedX</t>
        </is>
      </c>
      <c r="E203" s="17" t="inlineStr">
        <is>
          <t>Console</t>
        </is>
      </c>
      <c r="F203" s="17" t="inlineStr">
        <is>
          <t>West</t>
        </is>
      </c>
      <c r="G203" s="17" t="inlineStr">
        <is>
          <t>2025-05-31</t>
        </is>
      </c>
      <c r="H203" s="17" t="n">
        <v>97</v>
      </c>
      <c r="I203" s="17" t="n">
        <v>0</v>
      </c>
      <c r="J203" s="17" t="n"/>
      <c r="K203" s="17" t="inlineStr">
        <is>
          <t>Completed</t>
        </is>
      </c>
      <c r="L203" s="17" t="inlineStr">
        <is>
          <t>Free</t>
        </is>
      </c>
      <c r="M203" s="17" t="n">
        <v>5</v>
      </c>
      <c r="N203" s="17" t="inlineStr">
        <is>
          <t>No</t>
        </is>
      </c>
    </row>
    <row r="204">
      <c r="A204" s="17" t="inlineStr">
        <is>
          <t>S00200</t>
        </is>
      </c>
      <c r="B204" s="17" t="inlineStr">
        <is>
          <t>P7486</t>
        </is>
      </c>
      <c r="C204" s="17" t="inlineStr">
        <is>
          <t>qmills</t>
        </is>
      </c>
      <c r="D204" s="17" t="inlineStr">
        <is>
          <t>SpeedX</t>
        </is>
      </c>
      <c r="E204" s="17" t="inlineStr">
        <is>
          <t>Mobile</t>
        </is>
      </c>
      <c r="F204" s="17" t="inlineStr">
        <is>
          <t>Central</t>
        </is>
      </c>
      <c r="G204" s="17" t="inlineStr">
        <is>
          <t>2025-02-04</t>
        </is>
      </c>
      <c r="H204" s="17" t="n">
        <v>18</v>
      </c>
      <c r="I204" s="17" t="n">
        <v>0</v>
      </c>
      <c r="J204" s="17" t="n"/>
      <c r="K204" s="17" t="inlineStr">
        <is>
          <t>Completed</t>
        </is>
      </c>
      <c r="L204" s="17" t="inlineStr">
        <is>
          <t>Free</t>
        </is>
      </c>
      <c r="M204" s="17" t="n">
        <v>14</v>
      </c>
      <c r="N204" s="17" t="inlineStr">
        <is>
          <t>No</t>
        </is>
      </c>
    </row>
    <row r="205">
      <c r="A205" s="17" t="inlineStr">
        <is>
          <t>S00201</t>
        </is>
      </c>
      <c r="B205" s="17" t="inlineStr">
        <is>
          <t>P5966</t>
        </is>
      </c>
      <c r="C205" s="17" t="inlineStr">
        <is>
          <t>qcarrillo</t>
        </is>
      </c>
      <c r="D205" s="17" t="inlineStr">
        <is>
          <t>SpeedX</t>
        </is>
      </c>
      <c r="E205" s="17" t="inlineStr">
        <is>
          <t>Mobile</t>
        </is>
      </c>
      <c r="F205" s="17" t="inlineStr">
        <is>
          <t>West</t>
        </is>
      </c>
      <c r="G205" s="17" t="inlineStr">
        <is>
          <t>2025-04-04</t>
        </is>
      </c>
      <c r="H205" s="17" t="n">
        <v>7</v>
      </c>
      <c r="I205" s="17" t="n">
        <v>0</v>
      </c>
      <c r="J205" s="17" t="n"/>
      <c r="K205" s="17" t="inlineStr">
        <is>
          <t>Incomplete</t>
        </is>
      </c>
      <c r="L205" s="17" t="inlineStr">
        <is>
          <t>Free</t>
        </is>
      </c>
      <c r="M205" s="17" t="n">
        <v>22</v>
      </c>
      <c r="N205" s="17" t="inlineStr">
        <is>
          <t>No</t>
        </is>
      </c>
    </row>
    <row r="206">
      <c r="A206" s="17" t="inlineStr">
        <is>
          <t>S00202</t>
        </is>
      </c>
      <c r="B206" s="17" t="inlineStr">
        <is>
          <t>P8953</t>
        </is>
      </c>
      <c r="C206" s="17" t="inlineStr">
        <is>
          <t>mcdanielautumn</t>
        </is>
      </c>
      <c r="D206" s="17" t="inlineStr">
        <is>
          <t>Empire Wars</t>
        </is>
      </c>
      <c r="E206" s="17" t="inlineStr">
        <is>
          <t>PC</t>
        </is>
      </c>
      <c r="F206" s="17" t="inlineStr">
        <is>
          <t>North-East</t>
        </is>
      </c>
      <c r="G206" s="17" t="inlineStr">
        <is>
          <t>2025-03-26</t>
        </is>
      </c>
      <c r="H206" s="17" t="n">
        <v>42</v>
      </c>
      <c r="I206" s="17" t="n">
        <v>32.85</v>
      </c>
      <c r="J206" s="17" t="inlineStr">
        <is>
          <t>Subscriptions</t>
        </is>
      </c>
      <c r="K206" s="17" t="inlineStr">
        <is>
          <t>Incomplete</t>
        </is>
      </c>
      <c r="L206" s="17" t="inlineStr">
        <is>
          <t>Paid</t>
        </is>
      </c>
      <c r="M206" s="17" t="n">
        <v>38</v>
      </c>
      <c r="N206" s="17" t="inlineStr">
        <is>
          <t>No</t>
        </is>
      </c>
    </row>
    <row r="207">
      <c r="A207" s="17" t="inlineStr">
        <is>
          <t>S00203</t>
        </is>
      </c>
      <c r="B207" s="17" t="inlineStr">
        <is>
          <t>P5877</t>
        </is>
      </c>
      <c r="C207" s="17" t="inlineStr">
        <is>
          <t>jperkins</t>
        </is>
      </c>
      <c r="D207" s="17" t="inlineStr">
        <is>
          <t>Zombie Rush</t>
        </is>
      </c>
      <c r="E207" s="17" t="inlineStr">
        <is>
          <t>PC</t>
        </is>
      </c>
      <c r="F207" s="17" t="inlineStr">
        <is>
          <t>North</t>
        </is>
      </c>
      <c r="G207" s="17" t="inlineStr">
        <is>
          <t>2025-04-11</t>
        </is>
      </c>
      <c r="H207" s="17" t="n">
        <v>111</v>
      </c>
      <c r="I207" s="17" t="n">
        <v>0</v>
      </c>
      <c r="J207" s="17" t="n"/>
      <c r="K207" s="17" t="inlineStr">
        <is>
          <t>Completed</t>
        </is>
      </c>
      <c r="L207" s="17" t="inlineStr">
        <is>
          <t>Free</t>
        </is>
      </c>
      <c r="M207" s="17" t="n">
        <v>39</v>
      </c>
      <c r="N207" s="17" t="inlineStr">
        <is>
          <t>No</t>
        </is>
      </c>
    </row>
    <row r="208">
      <c r="A208" s="17" t="inlineStr">
        <is>
          <t>S00204</t>
        </is>
      </c>
      <c r="B208" s="17" t="inlineStr">
        <is>
          <t>P7851</t>
        </is>
      </c>
      <c r="C208" s="17" t="inlineStr">
        <is>
          <t>hernandezmichael</t>
        </is>
      </c>
      <c r="D208" s="17" t="inlineStr">
        <is>
          <t>Zombie Rush</t>
        </is>
      </c>
      <c r="E208" s="17" t="inlineStr">
        <is>
          <t>PC</t>
        </is>
      </c>
      <c r="F208" s="17" t="inlineStr">
        <is>
          <t>East</t>
        </is>
      </c>
      <c r="G208" s="17" t="inlineStr">
        <is>
          <t>2025-05-05</t>
        </is>
      </c>
      <c r="H208" s="17" t="n">
        <v>32</v>
      </c>
      <c r="I208" s="17" t="n">
        <v>0</v>
      </c>
      <c r="J208" s="17" t="n"/>
      <c r="K208" s="17" t="inlineStr">
        <is>
          <t>Incomplete</t>
        </is>
      </c>
      <c r="L208" s="17" t="inlineStr">
        <is>
          <t>Free</t>
        </is>
      </c>
      <c r="M208" s="17" t="n">
        <v>22</v>
      </c>
      <c r="N208" s="17" t="inlineStr">
        <is>
          <t>No</t>
        </is>
      </c>
    </row>
    <row r="209">
      <c r="A209" s="17" t="inlineStr">
        <is>
          <t>S00205</t>
        </is>
      </c>
      <c r="B209" s="17" t="inlineStr">
        <is>
          <t>P8927</t>
        </is>
      </c>
      <c r="C209" s="17" t="inlineStr">
        <is>
          <t>xpadilla</t>
        </is>
      </c>
      <c r="D209" s="17" t="inlineStr">
        <is>
          <t>BattleZone</t>
        </is>
      </c>
      <c r="E209" s="17" t="inlineStr">
        <is>
          <t>Mobile</t>
        </is>
      </c>
      <c r="F209" s="17" t="inlineStr">
        <is>
          <t>North</t>
        </is>
      </c>
      <c r="G209" s="17" t="inlineStr">
        <is>
          <t>2025-05-28</t>
        </is>
      </c>
      <c r="H209" s="17" t="n">
        <v>46</v>
      </c>
      <c r="I209" s="17" t="n">
        <v>0</v>
      </c>
      <c r="J209" s="17" t="n"/>
      <c r="K209" s="17" t="inlineStr">
        <is>
          <t>Completed</t>
        </is>
      </c>
      <c r="L209" s="17" t="inlineStr">
        <is>
          <t>Paid</t>
        </is>
      </c>
      <c r="M209" s="17" t="n">
        <v>42</v>
      </c>
      <c r="N209" s="17" t="inlineStr">
        <is>
          <t>No</t>
        </is>
      </c>
    </row>
    <row r="210">
      <c r="A210" s="17" t="inlineStr">
        <is>
          <t>S00206</t>
        </is>
      </c>
      <c r="B210" s="17" t="inlineStr">
        <is>
          <t>P3345</t>
        </is>
      </c>
      <c r="C210" s="17" t="inlineStr">
        <is>
          <t>wjohnson</t>
        </is>
      </c>
      <c r="D210" s="17" t="inlineStr">
        <is>
          <t>Empire Wars</t>
        </is>
      </c>
      <c r="E210" s="17" t="inlineStr">
        <is>
          <t>Console</t>
        </is>
      </c>
      <c r="F210" s="17" t="inlineStr">
        <is>
          <t>Central</t>
        </is>
      </c>
      <c r="G210" s="17" t="inlineStr">
        <is>
          <t>2025-05-25</t>
        </is>
      </c>
      <c r="H210" s="17" t="n">
        <v>98</v>
      </c>
      <c r="I210" s="17" t="n">
        <v>0</v>
      </c>
      <c r="J210" s="17" t="n"/>
      <c r="K210" s="17" t="inlineStr">
        <is>
          <t>Completed</t>
        </is>
      </c>
      <c r="L210" s="17" t="inlineStr">
        <is>
          <t>Paid</t>
        </is>
      </c>
      <c r="M210" s="17" t="n">
        <v>30</v>
      </c>
      <c r="N210" s="17" t="inlineStr">
        <is>
          <t>No</t>
        </is>
      </c>
    </row>
    <row r="211">
      <c r="A211" s="17" t="inlineStr">
        <is>
          <t>S00207</t>
        </is>
      </c>
      <c r="B211" s="17" t="inlineStr">
        <is>
          <t>P1709</t>
        </is>
      </c>
      <c r="C211" s="17" t="inlineStr">
        <is>
          <t>darren53</t>
        </is>
      </c>
      <c r="D211" s="17" t="inlineStr">
        <is>
          <t>Empire Wars</t>
        </is>
      </c>
      <c r="E211" s="17" t="inlineStr">
        <is>
          <t>Console</t>
        </is>
      </c>
      <c r="F211" s="17" t="inlineStr">
        <is>
          <t>West</t>
        </is>
      </c>
      <c r="G211" s="17" t="inlineStr">
        <is>
          <t>2025-05-14</t>
        </is>
      </c>
      <c r="H211" s="17" t="n">
        <v>85</v>
      </c>
      <c r="I211" s="17" t="n">
        <v>0</v>
      </c>
      <c r="J211" s="17" t="n"/>
      <c r="K211" s="17" t="inlineStr">
        <is>
          <t>Completed</t>
        </is>
      </c>
      <c r="L211" s="17" t="inlineStr">
        <is>
          <t>Free</t>
        </is>
      </c>
      <c r="M211" s="17" t="n">
        <v>4</v>
      </c>
      <c r="N211" s="17" t="inlineStr">
        <is>
          <t>No</t>
        </is>
      </c>
    </row>
    <row r="212">
      <c r="A212" s="17" t="inlineStr">
        <is>
          <t>S00208</t>
        </is>
      </c>
      <c r="B212" s="17" t="inlineStr">
        <is>
          <t>P3727</t>
        </is>
      </c>
      <c r="C212" s="17" t="inlineStr">
        <is>
          <t>nathanielchavez</t>
        </is>
      </c>
      <c r="D212" s="17" t="inlineStr">
        <is>
          <t>Empire Wars</t>
        </is>
      </c>
      <c r="E212" s="17" t="inlineStr">
        <is>
          <t>Console</t>
        </is>
      </c>
      <c r="F212" s="17" t="inlineStr">
        <is>
          <t>North</t>
        </is>
      </c>
      <c r="G212" s="17" t="inlineStr">
        <is>
          <t>2025-05-13</t>
        </is>
      </c>
      <c r="H212" s="17" t="n">
        <v>135</v>
      </c>
      <c r="I212" s="17" t="n">
        <v>0</v>
      </c>
      <c r="J212" s="17" t="n"/>
      <c r="K212" s="17" t="inlineStr">
        <is>
          <t>Completed</t>
        </is>
      </c>
      <c r="L212" s="17" t="inlineStr">
        <is>
          <t>Paid</t>
        </is>
      </c>
      <c r="M212" s="17" t="n">
        <v>42</v>
      </c>
      <c r="N212" s="17" t="inlineStr">
        <is>
          <t>No</t>
        </is>
      </c>
    </row>
    <row r="213">
      <c r="A213" s="17" t="inlineStr">
        <is>
          <t>S00209</t>
        </is>
      </c>
      <c r="B213" s="17" t="inlineStr">
        <is>
          <t>P6903</t>
        </is>
      </c>
      <c r="C213" s="17" t="inlineStr">
        <is>
          <t>selliott</t>
        </is>
      </c>
      <c r="D213" s="17" t="inlineStr">
        <is>
          <t>Empire Wars</t>
        </is>
      </c>
      <c r="E213" s="17" t="inlineStr">
        <is>
          <t>Mobile</t>
        </is>
      </c>
      <c r="F213" s="17" t="inlineStr">
        <is>
          <t>North-East</t>
        </is>
      </c>
      <c r="G213" s="17" t="inlineStr">
        <is>
          <t>2024-12-15</t>
        </is>
      </c>
      <c r="H213" s="17" t="n">
        <v>109</v>
      </c>
      <c r="I213" s="17" t="n">
        <v>0</v>
      </c>
      <c r="J213" s="17" t="n"/>
      <c r="K213" s="17" t="inlineStr">
        <is>
          <t>Completed</t>
        </is>
      </c>
      <c r="L213" s="17" t="inlineStr">
        <is>
          <t>Free</t>
        </is>
      </c>
      <c r="M213" s="17" t="n">
        <v>15</v>
      </c>
      <c r="N213" s="17" t="inlineStr">
        <is>
          <t>No</t>
        </is>
      </c>
    </row>
    <row r="214">
      <c r="A214" s="17" t="inlineStr">
        <is>
          <t>S00210</t>
        </is>
      </c>
      <c r="B214" s="17" t="inlineStr">
        <is>
          <t>P9657</t>
        </is>
      </c>
      <c r="C214" s="17" t="inlineStr">
        <is>
          <t>elowe</t>
        </is>
      </c>
      <c r="D214" s="17" t="inlineStr">
        <is>
          <t>Clash of Realms</t>
        </is>
      </c>
      <c r="E214" s="17" t="inlineStr">
        <is>
          <t>PC</t>
        </is>
      </c>
      <c r="F214" s="17" t="inlineStr">
        <is>
          <t>North-East</t>
        </is>
      </c>
      <c r="G214" s="17" t="inlineStr">
        <is>
          <t>2025-05-13</t>
        </is>
      </c>
      <c r="H214" s="17" t="n">
        <v>41</v>
      </c>
      <c r="I214" s="17" t="n">
        <v>0</v>
      </c>
      <c r="J214" s="17" t="n"/>
      <c r="K214" s="17" t="inlineStr">
        <is>
          <t>Completed</t>
        </is>
      </c>
      <c r="L214" s="17" t="inlineStr">
        <is>
          <t>Free</t>
        </is>
      </c>
      <c r="M214" s="17" t="n">
        <v>14</v>
      </c>
      <c r="N214" s="17" t="inlineStr">
        <is>
          <t>No</t>
        </is>
      </c>
    </row>
    <row r="215">
      <c r="A215" s="17" t="inlineStr">
        <is>
          <t>S00211</t>
        </is>
      </c>
      <c r="B215" s="17" t="inlineStr">
        <is>
          <t>P6523</t>
        </is>
      </c>
      <c r="C215" s="17" t="inlineStr">
        <is>
          <t>edwardsjohn</t>
        </is>
      </c>
      <c r="D215" s="17" t="inlineStr">
        <is>
          <t>Zombie Rush</t>
        </is>
      </c>
      <c r="E215" s="17" t="inlineStr">
        <is>
          <t>Console</t>
        </is>
      </c>
      <c r="F215" s="17" t="inlineStr">
        <is>
          <t>West</t>
        </is>
      </c>
      <c r="G215" s="17" t="inlineStr">
        <is>
          <t>2025-01-29</t>
        </is>
      </c>
      <c r="H215" s="17" t="n">
        <v>47</v>
      </c>
      <c r="I215" s="17" t="n">
        <v>8.609999999999999</v>
      </c>
      <c r="J215" s="17" t="inlineStr">
        <is>
          <t>Subscriptions</t>
        </is>
      </c>
      <c r="K215" s="17" t="inlineStr">
        <is>
          <t>Completed</t>
        </is>
      </c>
      <c r="L215" s="17" t="inlineStr">
        <is>
          <t>Paid</t>
        </is>
      </c>
      <c r="M215" s="17" t="n">
        <v>1</v>
      </c>
      <c r="N215" s="17" t="inlineStr">
        <is>
          <t>No</t>
        </is>
      </c>
    </row>
    <row r="216">
      <c r="A216" s="17" t="inlineStr">
        <is>
          <t>S00212</t>
        </is>
      </c>
      <c r="B216" s="17" t="inlineStr">
        <is>
          <t>P4216</t>
        </is>
      </c>
      <c r="C216" s="17" t="inlineStr">
        <is>
          <t>sheilawatkins</t>
        </is>
      </c>
      <c r="D216" s="17" t="inlineStr">
        <is>
          <t>BattleZone</t>
        </is>
      </c>
      <c r="E216" s="17" t="inlineStr">
        <is>
          <t>Console</t>
        </is>
      </c>
      <c r="F216" s="17" t="inlineStr">
        <is>
          <t>Central</t>
        </is>
      </c>
      <c r="G216" s="17" t="inlineStr">
        <is>
          <t>2025-03-22</t>
        </is>
      </c>
      <c r="H216" s="17" t="n">
        <v>141</v>
      </c>
      <c r="I216" s="17" t="n">
        <v>0</v>
      </c>
      <c r="J216" s="17" t="n"/>
      <c r="K216" s="17" t="inlineStr">
        <is>
          <t>Completed</t>
        </is>
      </c>
      <c r="L216" s="17" t="inlineStr">
        <is>
          <t>Free</t>
        </is>
      </c>
      <c r="M216" s="17" t="n">
        <v>17</v>
      </c>
      <c r="N216" s="17" t="inlineStr">
        <is>
          <t>No</t>
        </is>
      </c>
    </row>
    <row r="217">
      <c r="A217" s="17" t="inlineStr">
        <is>
          <t>S00213</t>
        </is>
      </c>
      <c r="B217" s="17" t="inlineStr">
        <is>
          <t>P5442</t>
        </is>
      </c>
      <c r="C217" s="17" t="inlineStr">
        <is>
          <t>nicholas77</t>
        </is>
      </c>
      <c r="D217" s="17" t="inlineStr">
        <is>
          <t>SpeedX</t>
        </is>
      </c>
      <c r="E217" s="17" t="inlineStr">
        <is>
          <t>Mobile</t>
        </is>
      </c>
      <c r="F217" s="17" t="inlineStr">
        <is>
          <t>East</t>
        </is>
      </c>
      <c r="G217" s="17" t="inlineStr">
        <is>
          <t>2025-03-06</t>
        </is>
      </c>
      <c r="H217" s="17" t="n">
        <v>56</v>
      </c>
      <c r="I217" s="17" t="n">
        <v>15.9</v>
      </c>
      <c r="J217" s="17" t="inlineStr">
        <is>
          <t>Boosters</t>
        </is>
      </c>
      <c r="K217" s="17" t="inlineStr">
        <is>
          <t>Exited Early</t>
        </is>
      </c>
      <c r="L217" s="17" t="inlineStr">
        <is>
          <t>Paid</t>
        </is>
      </c>
      <c r="M217" s="17" t="n">
        <v>28</v>
      </c>
      <c r="N217" s="17" t="inlineStr">
        <is>
          <t>No</t>
        </is>
      </c>
    </row>
    <row r="218">
      <c r="A218" s="17" t="inlineStr">
        <is>
          <t>S00214</t>
        </is>
      </c>
      <c r="B218" s="17" t="inlineStr">
        <is>
          <t>P5369</t>
        </is>
      </c>
      <c r="C218" s="17" t="inlineStr">
        <is>
          <t>alexandermoore</t>
        </is>
      </c>
      <c r="D218" s="17" t="inlineStr">
        <is>
          <t>SpeedX</t>
        </is>
      </c>
      <c r="E218" s="17" t="inlineStr">
        <is>
          <t>Mobile</t>
        </is>
      </c>
      <c r="F218" s="17" t="inlineStr">
        <is>
          <t>West</t>
        </is>
      </c>
      <c r="G218" s="17" t="inlineStr">
        <is>
          <t>2025-06-09</t>
        </is>
      </c>
      <c r="H218" s="17" t="n">
        <v>93</v>
      </c>
      <c r="I218" s="17" t="n">
        <v>0</v>
      </c>
      <c r="J218" s="17" t="n"/>
      <c r="K218" s="17" t="inlineStr">
        <is>
          <t>Completed</t>
        </is>
      </c>
      <c r="L218" s="17" t="inlineStr">
        <is>
          <t>Free</t>
        </is>
      </c>
      <c r="M218" s="17" t="n">
        <v>21</v>
      </c>
      <c r="N218" s="17" t="inlineStr">
        <is>
          <t>No</t>
        </is>
      </c>
    </row>
    <row r="219">
      <c r="A219" s="17" t="inlineStr">
        <is>
          <t>S00215</t>
        </is>
      </c>
      <c r="B219" s="17" t="inlineStr">
        <is>
          <t>P2904</t>
        </is>
      </c>
      <c r="C219" s="17" t="inlineStr">
        <is>
          <t>william77</t>
        </is>
      </c>
      <c r="D219" s="17" t="inlineStr">
        <is>
          <t>Clash of Realms</t>
        </is>
      </c>
      <c r="E219" s="17" t="inlineStr">
        <is>
          <t>PC</t>
        </is>
      </c>
      <c r="F219" s="17" t="inlineStr">
        <is>
          <t>Central</t>
        </is>
      </c>
      <c r="G219" s="17" t="inlineStr">
        <is>
          <t>2025-01-31</t>
        </is>
      </c>
      <c r="H219" s="17" t="n">
        <v>147</v>
      </c>
      <c r="I219" s="17" t="n">
        <v>0</v>
      </c>
      <c r="J219" s="17" t="n"/>
      <c r="K219" s="17" t="inlineStr">
        <is>
          <t>Completed</t>
        </is>
      </c>
      <c r="L219" s="17" t="inlineStr">
        <is>
          <t>Free</t>
        </is>
      </c>
      <c r="M219" s="17" t="n">
        <v>48</v>
      </c>
      <c r="N219" s="17" t="inlineStr">
        <is>
          <t>No</t>
        </is>
      </c>
    </row>
    <row r="220">
      <c r="A220" s="17" t="inlineStr">
        <is>
          <t>S00216</t>
        </is>
      </c>
      <c r="B220" s="17" t="inlineStr">
        <is>
          <t>P2461</t>
        </is>
      </c>
      <c r="C220" s="17" t="inlineStr">
        <is>
          <t>michelle54</t>
        </is>
      </c>
      <c r="D220" s="17" t="inlineStr">
        <is>
          <t>Zombie Rush</t>
        </is>
      </c>
      <c r="E220" s="17" t="inlineStr">
        <is>
          <t>Console</t>
        </is>
      </c>
      <c r="F220" s="17" t="inlineStr">
        <is>
          <t>West</t>
        </is>
      </c>
      <c r="G220" s="17" t="inlineStr">
        <is>
          <t>2025-01-31</t>
        </is>
      </c>
      <c r="H220" s="17" t="n">
        <v>34</v>
      </c>
      <c r="I220" s="17" t="n">
        <v>0</v>
      </c>
      <c r="J220" s="17" t="n"/>
      <c r="K220" s="17" t="inlineStr">
        <is>
          <t>Completed</t>
        </is>
      </c>
      <c r="L220" s="17" t="inlineStr">
        <is>
          <t>Free</t>
        </is>
      </c>
      <c r="M220" s="17" t="n">
        <v>50</v>
      </c>
      <c r="N220" s="17" t="inlineStr">
        <is>
          <t>No</t>
        </is>
      </c>
    </row>
    <row r="221">
      <c r="A221" s="17" t="inlineStr">
        <is>
          <t>S00217</t>
        </is>
      </c>
      <c r="B221" s="17" t="inlineStr">
        <is>
          <t>P3087</t>
        </is>
      </c>
      <c r="C221" s="17" t="inlineStr">
        <is>
          <t>quinncaroline</t>
        </is>
      </c>
      <c r="D221" s="17" t="inlineStr">
        <is>
          <t>SpeedX</t>
        </is>
      </c>
      <c r="E221" s="17" t="inlineStr">
        <is>
          <t>Console</t>
        </is>
      </c>
      <c r="F221" s="17" t="inlineStr">
        <is>
          <t>North-East</t>
        </is>
      </c>
      <c r="G221" s="17" t="inlineStr">
        <is>
          <t>2025-04-17</t>
        </is>
      </c>
      <c r="H221" s="17" t="n">
        <v>51</v>
      </c>
      <c r="I221" s="17" t="n">
        <v>0</v>
      </c>
      <c r="J221" s="17" t="n"/>
      <c r="K221" s="17" t="inlineStr">
        <is>
          <t>Crashed</t>
        </is>
      </c>
      <c r="L221" s="17" t="inlineStr">
        <is>
          <t>Free</t>
        </is>
      </c>
      <c r="M221" s="17" t="n">
        <v>2</v>
      </c>
      <c r="N221" s="17" t="inlineStr">
        <is>
          <t>No</t>
        </is>
      </c>
    </row>
    <row r="222">
      <c r="A222" s="17" t="inlineStr">
        <is>
          <t>S00218</t>
        </is>
      </c>
      <c r="B222" s="17" t="inlineStr">
        <is>
          <t>P1617</t>
        </is>
      </c>
      <c r="C222" s="17" t="inlineStr">
        <is>
          <t>hlucas</t>
        </is>
      </c>
      <c r="D222" s="17" t="inlineStr">
        <is>
          <t>Clash of Realms</t>
        </is>
      </c>
      <c r="E222" s="17" t="inlineStr">
        <is>
          <t>Console</t>
        </is>
      </c>
      <c r="F222" s="17" t="inlineStr">
        <is>
          <t>North</t>
        </is>
      </c>
      <c r="G222" s="17" t="inlineStr">
        <is>
          <t>2025-06-03</t>
        </is>
      </c>
      <c r="H222" s="17" t="n">
        <v>44</v>
      </c>
      <c r="I222" s="17" t="n">
        <v>0</v>
      </c>
      <c r="J222" s="17" t="n"/>
      <c r="K222" s="17" t="inlineStr">
        <is>
          <t>Incomplete</t>
        </is>
      </c>
      <c r="L222" s="17" t="inlineStr">
        <is>
          <t>Free</t>
        </is>
      </c>
      <c r="M222" s="17" t="n">
        <v>27</v>
      </c>
      <c r="N222" s="17" t="inlineStr">
        <is>
          <t>No</t>
        </is>
      </c>
    </row>
    <row r="223">
      <c r="A223" s="17" t="inlineStr">
        <is>
          <t>S00219</t>
        </is>
      </c>
      <c r="B223" s="17" t="inlineStr">
        <is>
          <t>P3673</t>
        </is>
      </c>
      <c r="C223" s="17" t="inlineStr">
        <is>
          <t>davisdevin</t>
        </is>
      </c>
      <c r="D223" s="17" t="inlineStr">
        <is>
          <t>BattleZone</t>
        </is>
      </c>
      <c r="E223" s="17" t="inlineStr">
        <is>
          <t>Mobile</t>
        </is>
      </c>
      <c r="F223" s="17" t="inlineStr">
        <is>
          <t>West</t>
        </is>
      </c>
      <c r="G223" s="17" t="inlineStr">
        <is>
          <t>2024-12-16</t>
        </is>
      </c>
      <c r="H223" s="17" t="n">
        <v>114</v>
      </c>
      <c r="I223" s="17" t="n">
        <v>5.31</v>
      </c>
      <c r="J223" s="17" t="inlineStr">
        <is>
          <t>Boosters</t>
        </is>
      </c>
      <c r="K223" s="17" t="inlineStr">
        <is>
          <t>Completed</t>
        </is>
      </c>
      <c r="L223" s="17" t="inlineStr">
        <is>
          <t>Paid</t>
        </is>
      </c>
      <c r="M223" s="17" t="n">
        <v>9</v>
      </c>
      <c r="N223" s="17" t="inlineStr">
        <is>
          <t>No</t>
        </is>
      </c>
    </row>
    <row r="224">
      <c r="A224" s="17" t="inlineStr">
        <is>
          <t>S00220</t>
        </is>
      </c>
      <c r="B224" s="17" t="inlineStr">
        <is>
          <t>P7757</t>
        </is>
      </c>
      <c r="C224" s="17" t="inlineStr">
        <is>
          <t>tonyachristensen</t>
        </is>
      </c>
      <c r="D224" s="17" t="inlineStr">
        <is>
          <t>Empire Wars</t>
        </is>
      </c>
      <c r="E224" s="17" t="inlineStr">
        <is>
          <t>Console</t>
        </is>
      </c>
      <c r="F224" s="17" t="inlineStr">
        <is>
          <t>Central</t>
        </is>
      </c>
      <c r="G224" s="17" t="inlineStr">
        <is>
          <t>2025-03-04</t>
        </is>
      </c>
      <c r="H224" s="17" t="n">
        <v>154</v>
      </c>
      <c r="I224" s="17" t="n">
        <v>0</v>
      </c>
      <c r="J224" s="17" t="n"/>
      <c r="K224" s="17" t="inlineStr">
        <is>
          <t>Completed</t>
        </is>
      </c>
      <c r="L224" s="17" t="inlineStr">
        <is>
          <t>Free</t>
        </is>
      </c>
      <c r="M224" s="17" t="n">
        <v>26</v>
      </c>
      <c r="N224" s="17" t="inlineStr">
        <is>
          <t>Yes</t>
        </is>
      </c>
    </row>
    <row r="225">
      <c r="A225" s="17" t="inlineStr">
        <is>
          <t>S00221</t>
        </is>
      </c>
      <c r="B225" s="17" t="inlineStr">
        <is>
          <t>P1073</t>
        </is>
      </c>
      <c r="C225" s="17" t="inlineStr">
        <is>
          <t>shawna86</t>
        </is>
      </c>
      <c r="D225" s="17" t="inlineStr">
        <is>
          <t>Clash of Realms</t>
        </is>
      </c>
      <c r="E225" s="17" t="inlineStr">
        <is>
          <t>PC</t>
        </is>
      </c>
      <c r="F225" s="17" t="inlineStr">
        <is>
          <t>Central</t>
        </is>
      </c>
      <c r="G225" s="17" t="inlineStr">
        <is>
          <t>2025-04-28</t>
        </is>
      </c>
      <c r="H225" s="17" t="n">
        <v>105</v>
      </c>
      <c r="I225" s="17" t="n">
        <v>0</v>
      </c>
      <c r="J225" s="17" t="n"/>
      <c r="K225" s="17" t="inlineStr">
        <is>
          <t>Completed</t>
        </is>
      </c>
      <c r="L225" s="17" t="inlineStr">
        <is>
          <t>Free</t>
        </is>
      </c>
      <c r="M225" s="17" t="n">
        <v>38</v>
      </c>
      <c r="N225" s="17" t="inlineStr">
        <is>
          <t>No</t>
        </is>
      </c>
    </row>
    <row r="226">
      <c r="A226" s="17" t="inlineStr">
        <is>
          <t>S00222</t>
        </is>
      </c>
      <c r="B226" s="17" t="inlineStr">
        <is>
          <t>P9392</t>
        </is>
      </c>
      <c r="C226" s="17" t="inlineStr">
        <is>
          <t>scott81</t>
        </is>
      </c>
      <c r="D226" s="17" t="inlineStr">
        <is>
          <t>SpeedX</t>
        </is>
      </c>
      <c r="E226" s="17" t="inlineStr">
        <is>
          <t>PC</t>
        </is>
      </c>
      <c r="F226" s="17" t="inlineStr">
        <is>
          <t>East</t>
        </is>
      </c>
      <c r="G226" s="17" t="inlineStr">
        <is>
          <t>2025-01-26</t>
        </is>
      </c>
      <c r="H226" s="17" t="n">
        <v>80</v>
      </c>
      <c r="I226" s="17" t="n">
        <v>0</v>
      </c>
      <c r="J226" s="17" t="n"/>
      <c r="K226" s="17" t="inlineStr">
        <is>
          <t>Exited Early</t>
        </is>
      </c>
      <c r="L226" s="17" t="inlineStr">
        <is>
          <t>Free</t>
        </is>
      </c>
      <c r="M226" s="17" t="n">
        <v>39</v>
      </c>
      <c r="N226" s="17" t="inlineStr">
        <is>
          <t>No</t>
        </is>
      </c>
    </row>
    <row r="227">
      <c r="A227" s="17" t="inlineStr">
        <is>
          <t>S00223</t>
        </is>
      </c>
      <c r="B227" s="17" t="inlineStr">
        <is>
          <t>P8292</t>
        </is>
      </c>
      <c r="C227" s="17" t="inlineStr">
        <is>
          <t>kellyrichardson</t>
        </is>
      </c>
      <c r="D227" s="17" t="inlineStr">
        <is>
          <t>SpeedX</t>
        </is>
      </c>
      <c r="E227" s="17" t="inlineStr">
        <is>
          <t>PC</t>
        </is>
      </c>
      <c r="F227" s="17" t="inlineStr">
        <is>
          <t>East</t>
        </is>
      </c>
      <c r="G227" s="17" t="inlineStr">
        <is>
          <t>2025-04-09</t>
        </is>
      </c>
      <c r="H227" s="17" t="n">
        <v>92</v>
      </c>
      <c r="I227" s="17" t="n">
        <v>0</v>
      </c>
      <c r="J227" s="17" t="n"/>
      <c r="K227" s="17" t="inlineStr">
        <is>
          <t>Completed</t>
        </is>
      </c>
      <c r="L227" s="17" t="inlineStr">
        <is>
          <t>Free</t>
        </is>
      </c>
      <c r="M227" s="17" t="n">
        <v>11</v>
      </c>
      <c r="N227" s="17" t="inlineStr">
        <is>
          <t>No</t>
        </is>
      </c>
    </row>
    <row r="228">
      <c r="A228" s="17" t="inlineStr">
        <is>
          <t>S00224</t>
        </is>
      </c>
      <c r="B228" s="17" t="inlineStr">
        <is>
          <t>P4744</t>
        </is>
      </c>
      <c r="C228" s="17" t="inlineStr">
        <is>
          <t>jeansmall</t>
        </is>
      </c>
      <c r="D228" s="17" t="inlineStr">
        <is>
          <t>Clash of Realms</t>
        </is>
      </c>
      <c r="E228" s="17" t="inlineStr">
        <is>
          <t>Mobile</t>
        </is>
      </c>
      <c r="F228" s="17" t="inlineStr">
        <is>
          <t>Central</t>
        </is>
      </c>
      <c r="G228" s="17" t="inlineStr">
        <is>
          <t>2025-01-26</t>
        </is>
      </c>
      <c r="H228" s="17" t="n">
        <v>113</v>
      </c>
      <c r="I228" s="17" t="n">
        <v>0</v>
      </c>
      <c r="J228" s="17" t="n"/>
      <c r="K228" s="17" t="inlineStr">
        <is>
          <t>Completed</t>
        </is>
      </c>
      <c r="L228" s="17" t="inlineStr">
        <is>
          <t>Free</t>
        </is>
      </c>
      <c r="M228" s="17" t="n">
        <v>46</v>
      </c>
      <c r="N228" s="17" t="inlineStr">
        <is>
          <t>No</t>
        </is>
      </c>
    </row>
    <row r="229">
      <c r="A229" s="17" t="inlineStr">
        <is>
          <t>S00225</t>
        </is>
      </c>
      <c r="B229" s="17" t="inlineStr">
        <is>
          <t>P1940</t>
        </is>
      </c>
      <c r="C229" s="17" t="inlineStr">
        <is>
          <t>richard18</t>
        </is>
      </c>
      <c r="D229" s="17" t="inlineStr">
        <is>
          <t>SpeedX</t>
        </is>
      </c>
      <c r="E229" s="17" t="inlineStr">
        <is>
          <t>Mobile</t>
        </is>
      </c>
      <c r="F229" s="17" t="inlineStr">
        <is>
          <t>East</t>
        </is>
      </c>
      <c r="G229" s="17" t="inlineStr">
        <is>
          <t>2025-01-06</t>
        </is>
      </c>
      <c r="H229" s="17" t="n">
        <v>117</v>
      </c>
      <c r="I229" s="17" t="n">
        <v>23.32</v>
      </c>
      <c r="J229" s="17" t="inlineStr">
        <is>
          <t>Boosters</t>
        </is>
      </c>
      <c r="K229" s="17" t="inlineStr">
        <is>
          <t>Completed</t>
        </is>
      </c>
      <c r="L229" s="17" t="inlineStr">
        <is>
          <t>Paid</t>
        </is>
      </c>
      <c r="M229" s="17" t="n">
        <v>11</v>
      </c>
      <c r="N229" s="17" t="inlineStr">
        <is>
          <t>No</t>
        </is>
      </c>
    </row>
    <row r="230">
      <c r="A230" s="17" t="inlineStr">
        <is>
          <t>S00226</t>
        </is>
      </c>
      <c r="B230" s="17" t="inlineStr">
        <is>
          <t>P7147</t>
        </is>
      </c>
      <c r="C230" s="17" t="inlineStr">
        <is>
          <t>jayroberts</t>
        </is>
      </c>
      <c r="D230" s="17" t="inlineStr">
        <is>
          <t>BattleZone</t>
        </is>
      </c>
      <c r="E230" s="17" t="inlineStr">
        <is>
          <t>Console</t>
        </is>
      </c>
      <c r="F230" s="17" t="inlineStr">
        <is>
          <t>West</t>
        </is>
      </c>
      <c r="G230" s="17" t="inlineStr">
        <is>
          <t>2025-01-31</t>
        </is>
      </c>
      <c r="H230" s="17" t="n">
        <v>71</v>
      </c>
      <c r="I230" s="17" t="n">
        <v>0</v>
      </c>
      <c r="J230" s="17" t="n"/>
      <c r="K230" s="17" t="inlineStr">
        <is>
          <t>Completed</t>
        </is>
      </c>
      <c r="L230" s="17" t="inlineStr">
        <is>
          <t>Free</t>
        </is>
      </c>
      <c r="M230" s="17" t="n">
        <v>37</v>
      </c>
      <c r="N230" s="17" t="inlineStr">
        <is>
          <t>No</t>
        </is>
      </c>
    </row>
    <row r="231">
      <c r="A231" s="17" t="inlineStr">
        <is>
          <t>S00227</t>
        </is>
      </c>
      <c r="B231" s="17" t="inlineStr">
        <is>
          <t>P9650</t>
        </is>
      </c>
      <c r="C231" s="17" t="inlineStr">
        <is>
          <t>lpowers</t>
        </is>
      </c>
      <c r="D231" s="17" t="inlineStr">
        <is>
          <t>Empire Wars</t>
        </is>
      </c>
      <c r="E231" s="17" t="inlineStr">
        <is>
          <t>Mobile</t>
        </is>
      </c>
      <c r="F231" s="17" t="inlineStr">
        <is>
          <t>South</t>
        </is>
      </c>
      <c r="G231" s="17" t="inlineStr">
        <is>
          <t>2025-01-23</t>
        </is>
      </c>
      <c r="H231" s="17" t="n">
        <v>132</v>
      </c>
      <c r="I231" s="17" t="n">
        <v>0</v>
      </c>
      <c r="J231" s="17" t="n"/>
      <c r="K231" s="17" t="inlineStr">
        <is>
          <t>Completed</t>
        </is>
      </c>
      <c r="L231" s="17" t="inlineStr">
        <is>
          <t>Paid</t>
        </is>
      </c>
      <c r="M231" s="17" t="n">
        <v>50</v>
      </c>
      <c r="N231" s="17" t="inlineStr">
        <is>
          <t>No</t>
        </is>
      </c>
    </row>
    <row r="232">
      <c r="A232" s="17" t="inlineStr">
        <is>
          <t>S00228</t>
        </is>
      </c>
      <c r="B232" s="17" t="inlineStr">
        <is>
          <t>P4765</t>
        </is>
      </c>
      <c r="C232" s="17" t="inlineStr">
        <is>
          <t>thomas60</t>
        </is>
      </c>
      <c r="D232" s="17" t="inlineStr">
        <is>
          <t>BattleZone</t>
        </is>
      </c>
      <c r="E232" s="17" t="inlineStr">
        <is>
          <t>Mobile</t>
        </is>
      </c>
      <c r="F232" s="17" t="inlineStr">
        <is>
          <t>South</t>
        </is>
      </c>
      <c r="G232" s="17" t="inlineStr">
        <is>
          <t>2025-05-02</t>
        </is>
      </c>
      <c r="H232" s="17" t="n">
        <v>30</v>
      </c>
      <c r="I232" s="17" t="n">
        <v>0</v>
      </c>
      <c r="J232" s="17" t="n"/>
      <c r="K232" s="17" t="inlineStr">
        <is>
          <t>Completed</t>
        </is>
      </c>
      <c r="L232" s="17" t="inlineStr">
        <is>
          <t>Free</t>
        </is>
      </c>
      <c r="M232" s="17" t="n">
        <v>20</v>
      </c>
      <c r="N232" s="17" t="inlineStr">
        <is>
          <t>No</t>
        </is>
      </c>
    </row>
    <row r="233">
      <c r="A233" s="17" t="inlineStr">
        <is>
          <t>S00229</t>
        </is>
      </c>
      <c r="B233" s="17" t="inlineStr">
        <is>
          <t>P1732</t>
        </is>
      </c>
      <c r="C233" s="17" t="inlineStr">
        <is>
          <t>zjames</t>
        </is>
      </c>
      <c r="D233" s="17" t="inlineStr">
        <is>
          <t>Empire Wars</t>
        </is>
      </c>
      <c r="E233" s="17" t="inlineStr">
        <is>
          <t>Console</t>
        </is>
      </c>
      <c r="F233" s="17" t="inlineStr">
        <is>
          <t>Central</t>
        </is>
      </c>
      <c r="G233" s="17" t="inlineStr">
        <is>
          <t>2025-05-27</t>
        </is>
      </c>
      <c r="H233" s="17" t="n">
        <v>48</v>
      </c>
      <c r="I233" s="17" t="n">
        <v>0</v>
      </c>
      <c r="J233" s="17" t="n"/>
      <c r="K233" s="17" t="inlineStr">
        <is>
          <t>Exited Early</t>
        </is>
      </c>
      <c r="L233" s="17" t="inlineStr">
        <is>
          <t>Free</t>
        </is>
      </c>
      <c r="M233" s="17" t="n">
        <v>36</v>
      </c>
      <c r="N233" s="17" t="inlineStr">
        <is>
          <t>No</t>
        </is>
      </c>
    </row>
    <row r="234">
      <c r="A234" s="17" t="inlineStr">
        <is>
          <t>S00230</t>
        </is>
      </c>
      <c r="B234" s="17" t="inlineStr">
        <is>
          <t>P7236</t>
        </is>
      </c>
      <c r="C234" s="17" t="inlineStr">
        <is>
          <t>zhopkins</t>
        </is>
      </c>
      <c r="D234" s="17" t="inlineStr">
        <is>
          <t>SpeedX</t>
        </is>
      </c>
      <c r="E234" s="17" t="inlineStr">
        <is>
          <t>PC</t>
        </is>
      </c>
      <c r="F234" s="17" t="inlineStr">
        <is>
          <t>Central</t>
        </is>
      </c>
      <c r="G234" s="17" t="inlineStr">
        <is>
          <t>2025-05-18</t>
        </is>
      </c>
      <c r="H234" s="17" t="n">
        <v>98</v>
      </c>
      <c r="I234" s="17" t="n">
        <v>27.66</v>
      </c>
      <c r="J234" s="17" t="inlineStr">
        <is>
          <t>Boosters</t>
        </is>
      </c>
      <c r="K234" s="17" t="inlineStr">
        <is>
          <t>Completed</t>
        </is>
      </c>
      <c r="L234" s="17" t="inlineStr">
        <is>
          <t>Paid</t>
        </is>
      </c>
      <c r="M234" s="17" t="n">
        <v>27</v>
      </c>
      <c r="N234" s="17" t="inlineStr">
        <is>
          <t>No</t>
        </is>
      </c>
    </row>
    <row r="235">
      <c r="A235" s="17" t="inlineStr">
        <is>
          <t>S00231</t>
        </is>
      </c>
      <c r="B235" s="17" t="inlineStr">
        <is>
          <t>P9363</t>
        </is>
      </c>
      <c r="C235" s="17" t="inlineStr">
        <is>
          <t>melissa94</t>
        </is>
      </c>
      <c r="D235" s="17" t="inlineStr">
        <is>
          <t>Zombie Rush</t>
        </is>
      </c>
      <c r="E235" s="17" t="inlineStr">
        <is>
          <t>Mobile</t>
        </is>
      </c>
      <c r="F235" s="17" t="inlineStr">
        <is>
          <t>North</t>
        </is>
      </c>
      <c r="G235" s="17" t="inlineStr">
        <is>
          <t>2025-02-05</t>
        </is>
      </c>
      <c r="H235" s="17" t="n">
        <v>23</v>
      </c>
      <c r="I235" s="17" t="n">
        <v>24.09</v>
      </c>
      <c r="J235" s="17" t="inlineStr">
        <is>
          <t>Skins</t>
        </is>
      </c>
      <c r="K235" s="17" t="inlineStr">
        <is>
          <t>Incomplete</t>
        </is>
      </c>
      <c r="L235" s="17" t="inlineStr">
        <is>
          <t>Paid</t>
        </is>
      </c>
      <c r="M235" s="17" t="n">
        <v>23</v>
      </c>
      <c r="N235" s="17" t="inlineStr">
        <is>
          <t>No</t>
        </is>
      </c>
    </row>
    <row r="236">
      <c r="A236" s="17" t="inlineStr">
        <is>
          <t>S00232</t>
        </is>
      </c>
      <c r="B236" s="17" t="inlineStr">
        <is>
          <t>P8348</t>
        </is>
      </c>
      <c r="C236" s="17" t="inlineStr">
        <is>
          <t>pottsdavid</t>
        </is>
      </c>
      <c r="D236" s="17" t="inlineStr">
        <is>
          <t>Zombie Rush</t>
        </is>
      </c>
      <c r="E236" s="17" t="inlineStr">
        <is>
          <t>Console</t>
        </is>
      </c>
      <c r="F236" s="17" t="inlineStr">
        <is>
          <t>West</t>
        </is>
      </c>
      <c r="G236" s="17" t="inlineStr">
        <is>
          <t>2025-05-09</t>
        </is>
      </c>
      <c r="H236" s="17" t="n">
        <v>146</v>
      </c>
      <c r="I236" s="17" t="n">
        <v>43.02</v>
      </c>
      <c r="J236" s="17" t="inlineStr">
        <is>
          <t>Skins</t>
        </is>
      </c>
      <c r="K236" s="17" t="inlineStr">
        <is>
          <t>Completed</t>
        </is>
      </c>
      <c r="L236" s="17" t="inlineStr">
        <is>
          <t>Paid</t>
        </is>
      </c>
      <c r="M236" s="17" t="n">
        <v>24</v>
      </c>
      <c r="N236" s="17" t="inlineStr">
        <is>
          <t>Yes</t>
        </is>
      </c>
    </row>
    <row r="237">
      <c r="A237" s="17" t="inlineStr">
        <is>
          <t>S00233</t>
        </is>
      </c>
      <c r="B237" s="17" t="inlineStr">
        <is>
          <t>P8315</t>
        </is>
      </c>
      <c r="C237" s="17" t="inlineStr">
        <is>
          <t>zmartin</t>
        </is>
      </c>
      <c r="D237" s="17" t="inlineStr">
        <is>
          <t>SpeedX</t>
        </is>
      </c>
      <c r="E237" s="17" t="inlineStr">
        <is>
          <t>PC</t>
        </is>
      </c>
      <c r="F237" s="17" t="inlineStr">
        <is>
          <t>North-East</t>
        </is>
      </c>
      <c r="G237" s="17" t="inlineStr">
        <is>
          <t>2025-04-10</t>
        </is>
      </c>
      <c r="H237" s="17" t="n">
        <v>55</v>
      </c>
      <c r="I237" s="17" t="n">
        <v>0</v>
      </c>
      <c r="J237" s="17" t="n"/>
      <c r="K237" s="17" t="inlineStr">
        <is>
          <t>Completed</t>
        </is>
      </c>
      <c r="L237" s="17" t="inlineStr">
        <is>
          <t>Free</t>
        </is>
      </c>
      <c r="M237" s="17" t="n">
        <v>20</v>
      </c>
      <c r="N237" s="17" t="inlineStr">
        <is>
          <t>No</t>
        </is>
      </c>
    </row>
    <row r="238">
      <c r="A238" s="17" t="inlineStr">
        <is>
          <t>S00234</t>
        </is>
      </c>
      <c r="B238" s="17" t="inlineStr">
        <is>
          <t>P4086</t>
        </is>
      </c>
      <c r="C238" s="17" t="inlineStr">
        <is>
          <t>joseph76</t>
        </is>
      </c>
      <c r="D238" s="17" t="inlineStr">
        <is>
          <t>Zombie Rush</t>
        </is>
      </c>
      <c r="E238" s="17" t="inlineStr">
        <is>
          <t>Mobile</t>
        </is>
      </c>
      <c r="F238" s="17" t="inlineStr">
        <is>
          <t>North</t>
        </is>
      </c>
      <c r="G238" s="17" t="inlineStr">
        <is>
          <t>2024-12-26</t>
        </is>
      </c>
      <c r="H238" s="17" t="n">
        <v>154</v>
      </c>
      <c r="I238" s="17" t="n">
        <v>0</v>
      </c>
      <c r="J238" s="17" t="n"/>
      <c r="K238" s="17" t="inlineStr">
        <is>
          <t>Completed</t>
        </is>
      </c>
      <c r="L238" s="17" t="inlineStr">
        <is>
          <t>Free</t>
        </is>
      </c>
      <c r="M238" s="17" t="n">
        <v>22</v>
      </c>
      <c r="N238" s="17" t="inlineStr">
        <is>
          <t>Yes</t>
        </is>
      </c>
    </row>
    <row r="239">
      <c r="A239" s="17" t="inlineStr">
        <is>
          <t>S00235</t>
        </is>
      </c>
      <c r="B239" s="17" t="inlineStr">
        <is>
          <t>P5994</t>
        </is>
      </c>
      <c r="C239" s="17" t="inlineStr">
        <is>
          <t>deannanewman</t>
        </is>
      </c>
      <c r="D239" s="17" t="inlineStr">
        <is>
          <t>BattleZone</t>
        </is>
      </c>
      <c r="E239" s="17" t="inlineStr">
        <is>
          <t>PC</t>
        </is>
      </c>
      <c r="F239" s="17" t="inlineStr">
        <is>
          <t>West</t>
        </is>
      </c>
      <c r="G239" s="17" t="inlineStr">
        <is>
          <t>2025-04-17</t>
        </is>
      </c>
      <c r="H239" s="17" t="n">
        <v>163</v>
      </c>
      <c r="I239" s="17" t="n">
        <v>0</v>
      </c>
      <c r="J239" s="17" t="n"/>
      <c r="K239" s="17" t="inlineStr">
        <is>
          <t>Completed</t>
        </is>
      </c>
      <c r="L239" s="17" t="inlineStr">
        <is>
          <t>Free</t>
        </is>
      </c>
      <c r="M239" s="17" t="n">
        <v>46</v>
      </c>
      <c r="N239" s="17" t="inlineStr">
        <is>
          <t>Yes</t>
        </is>
      </c>
    </row>
    <row r="240">
      <c r="A240" s="17" t="inlineStr">
        <is>
          <t>S00236</t>
        </is>
      </c>
      <c r="B240" s="17" t="inlineStr">
        <is>
          <t>P5794</t>
        </is>
      </c>
      <c r="C240" s="17" t="inlineStr">
        <is>
          <t>rodriguezkathleen</t>
        </is>
      </c>
      <c r="D240" s="17" t="inlineStr">
        <is>
          <t>SpeedX</t>
        </is>
      </c>
      <c r="E240" s="17" t="inlineStr">
        <is>
          <t>PC</t>
        </is>
      </c>
      <c r="F240" s="17" t="inlineStr">
        <is>
          <t>North-East</t>
        </is>
      </c>
      <c r="G240" s="17" t="inlineStr">
        <is>
          <t>2025-04-12</t>
        </is>
      </c>
      <c r="H240" s="17" t="n">
        <v>59</v>
      </c>
      <c r="I240" s="17" t="n">
        <v>0</v>
      </c>
      <c r="J240" s="17" t="n"/>
      <c r="K240" s="17" t="inlineStr">
        <is>
          <t>Crashed</t>
        </is>
      </c>
      <c r="L240" s="17" t="inlineStr">
        <is>
          <t>Free</t>
        </is>
      </c>
      <c r="M240" s="17" t="n">
        <v>5</v>
      </c>
      <c r="N240" s="17" t="inlineStr">
        <is>
          <t>No</t>
        </is>
      </c>
    </row>
    <row r="241">
      <c r="A241" s="17" t="inlineStr">
        <is>
          <t>S00237</t>
        </is>
      </c>
      <c r="B241" s="17" t="inlineStr">
        <is>
          <t>P4427</t>
        </is>
      </c>
      <c r="C241" s="17" t="inlineStr">
        <is>
          <t>nelsonbrandon</t>
        </is>
      </c>
      <c r="D241" s="17" t="inlineStr">
        <is>
          <t>SpeedX</t>
        </is>
      </c>
      <c r="E241" s="17" t="inlineStr">
        <is>
          <t>PC</t>
        </is>
      </c>
      <c r="F241" s="17" t="inlineStr">
        <is>
          <t>North-East</t>
        </is>
      </c>
      <c r="G241" s="17" t="inlineStr">
        <is>
          <t>2025-02-15</t>
        </is>
      </c>
      <c r="H241" s="17" t="n">
        <v>26</v>
      </c>
      <c r="I241" s="17" t="n">
        <v>11.67</v>
      </c>
      <c r="J241" s="17" t="inlineStr">
        <is>
          <t>Boosters</t>
        </is>
      </c>
      <c r="K241" s="17" t="inlineStr">
        <is>
          <t>Completed</t>
        </is>
      </c>
      <c r="L241" s="17" t="inlineStr">
        <is>
          <t>Paid</t>
        </is>
      </c>
      <c r="M241" s="17" t="n">
        <v>49</v>
      </c>
      <c r="N241" s="17" t="inlineStr">
        <is>
          <t>No</t>
        </is>
      </c>
    </row>
    <row r="242">
      <c r="A242" s="17" t="inlineStr">
        <is>
          <t>S00238</t>
        </is>
      </c>
      <c r="B242" s="17" t="inlineStr">
        <is>
          <t>P4599</t>
        </is>
      </c>
      <c r="C242" s="17" t="inlineStr">
        <is>
          <t>wrightjulia</t>
        </is>
      </c>
      <c r="D242" s="17" t="inlineStr">
        <is>
          <t>Clash of Realms</t>
        </is>
      </c>
      <c r="E242" s="17" t="inlineStr">
        <is>
          <t>Mobile</t>
        </is>
      </c>
      <c r="F242" s="17" t="inlineStr">
        <is>
          <t>North</t>
        </is>
      </c>
      <c r="G242" s="17" t="inlineStr">
        <is>
          <t>2025-02-27</t>
        </is>
      </c>
      <c r="H242" s="17" t="n">
        <v>117</v>
      </c>
      <c r="I242" s="17" t="n">
        <v>0</v>
      </c>
      <c r="J242" s="17" t="n"/>
      <c r="K242" s="17" t="inlineStr">
        <is>
          <t>Exited Early</t>
        </is>
      </c>
      <c r="L242" s="17" t="inlineStr">
        <is>
          <t>Free</t>
        </is>
      </c>
      <c r="M242" s="17" t="n">
        <v>21</v>
      </c>
      <c r="N242" s="17" t="inlineStr">
        <is>
          <t>No</t>
        </is>
      </c>
    </row>
    <row r="243">
      <c r="A243" s="17" t="inlineStr">
        <is>
          <t>S00239</t>
        </is>
      </c>
      <c r="B243" s="17" t="inlineStr">
        <is>
          <t>P3944</t>
        </is>
      </c>
      <c r="C243" s="17" t="inlineStr">
        <is>
          <t>zthomas</t>
        </is>
      </c>
      <c r="D243" s="17" t="inlineStr">
        <is>
          <t>SpeedX</t>
        </is>
      </c>
      <c r="E243" s="17" t="inlineStr">
        <is>
          <t>Mobile</t>
        </is>
      </c>
      <c r="F243" s="17" t="inlineStr">
        <is>
          <t>South</t>
        </is>
      </c>
      <c r="G243" s="17" t="inlineStr">
        <is>
          <t>2025-01-27</t>
        </is>
      </c>
      <c r="H243" s="17" t="n">
        <v>112</v>
      </c>
      <c r="I243" s="17" t="n">
        <v>2.26</v>
      </c>
      <c r="J243" s="17" t="inlineStr">
        <is>
          <t>Subscriptions</t>
        </is>
      </c>
      <c r="K243" s="17" t="inlineStr">
        <is>
          <t>Completed</t>
        </is>
      </c>
      <c r="L243" s="17" t="inlineStr">
        <is>
          <t>Paid</t>
        </is>
      </c>
      <c r="M243" s="17" t="n">
        <v>22</v>
      </c>
      <c r="N243" s="17" t="inlineStr">
        <is>
          <t>No</t>
        </is>
      </c>
    </row>
    <row r="244">
      <c r="A244" s="17" t="inlineStr">
        <is>
          <t>S00240</t>
        </is>
      </c>
      <c r="B244" s="17" t="inlineStr">
        <is>
          <t>P9467</t>
        </is>
      </c>
      <c r="C244" s="17" t="inlineStr">
        <is>
          <t>fmay</t>
        </is>
      </c>
      <c r="D244" s="17" t="inlineStr">
        <is>
          <t>SpeedX</t>
        </is>
      </c>
      <c r="E244" s="17" t="inlineStr">
        <is>
          <t>Console</t>
        </is>
      </c>
      <c r="F244" s="17" t="inlineStr">
        <is>
          <t>East</t>
        </is>
      </c>
      <c r="G244" s="17" t="inlineStr">
        <is>
          <t>2025-04-02</t>
        </is>
      </c>
      <c r="H244" s="17" t="n">
        <v>116</v>
      </c>
      <c r="I244" s="17" t="n">
        <v>0</v>
      </c>
      <c r="J244" s="17" t="n"/>
      <c r="K244" s="17" t="inlineStr">
        <is>
          <t>Incomplete</t>
        </is>
      </c>
      <c r="L244" s="17" t="inlineStr">
        <is>
          <t>Paid</t>
        </is>
      </c>
      <c r="M244" s="17" t="n">
        <v>11</v>
      </c>
      <c r="N244" s="17" t="inlineStr">
        <is>
          <t>No</t>
        </is>
      </c>
    </row>
    <row r="245">
      <c r="A245" s="17" t="inlineStr">
        <is>
          <t>S00241</t>
        </is>
      </c>
      <c r="B245" s="17" t="inlineStr">
        <is>
          <t>P9330</t>
        </is>
      </c>
      <c r="C245" s="17" t="inlineStr">
        <is>
          <t>susan69</t>
        </is>
      </c>
      <c r="D245" s="17" t="inlineStr">
        <is>
          <t>Clash of Realms</t>
        </is>
      </c>
      <c r="E245" s="17" t="inlineStr">
        <is>
          <t>Console</t>
        </is>
      </c>
      <c r="F245" s="17" t="inlineStr">
        <is>
          <t>South</t>
        </is>
      </c>
      <c r="G245" s="17" t="inlineStr">
        <is>
          <t>2025-04-17</t>
        </is>
      </c>
      <c r="H245" s="17" t="n">
        <v>8</v>
      </c>
      <c r="I245" s="17" t="n">
        <v>36.39</v>
      </c>
      <c r="J245" s="17" t="inlineStr">
        <is>
          <t>Boosters</t>
        </is>
      </c>
      <c r="K245" s="17" t="inlineStr">
        <is>
          <t>Completed</t>
        </is>
      </c>
      <c r="L245" s="17" t="inlineStr">
        <is>
          <t>Paid</t>
        </is>
      </c>
      <c r="M245" s="17" t="n">
        <v>22</v>
      </c>
      <c r="N245" s="17" t="inlineStr">
        <is>
          <t>No</t>
        </is>
      </c>
    </row>
    <row r="246">
      <c r="A246" s="17" t="inlineStr">
        <is>
          <t>S00242</t>
        </is>
      </c>
      <c r="B246" s="17" t="inlineStr">
        <is>
          <t>P7057</t>
        </is>
      </c>
      <c r="C246" s="17" t="inlineStr">
        <is>
          <t>anthony60</t>
        </is>
      </c>
      <c r="D246" s="17" t="inlineStr">
        <is>
          <t>Zombie Rush</t>
        </is>
      </c>
      <c r="E246" s="17" t="inlineStr">
        <is>
          <t>Console</t>
        </is>
      </c>
      <c r="F246" s="17" t="inlineStr">
        <is>
          <t>North-East</t>
        </is>
      </c>
      <c r="G246" s="17" t="inlineStr">
        <is>
          <t>2025-01-03</t>
        </is>
      </c>
      <c r="H246" s="17" t="n">
        <v>115</v>
      </c>
      <c r="I246" s="17" t="n">
        <v>0</v>
      </c>
      <c r="J246" s="17" t="n"/>
      <c r="K246" s="17" t="inlineStr">
        <is>
          <t>Completed</t>
        </is>
      </c>
      <c r="L246" s="17" t="inlineStr">
        <is>
          <t>Free</t>
        </is>
      </c>
      <c r="M246" s="17" t="n">
        <v>18</v>
      </c>
      <c r="N246" s="17" t="inlineStr">
        <is>
          <t>No</t>
        </is>
      </c>
    </row>
    <row r="247">
      <c r="A247" s="17" t="inlineStr">
        <is>
          <t>S00243</t>
        </is>
      </c>
      <c r="B247" s="17" t="inlineStr">
        <is>
          <t>P5909</t>
        </is>
      </c>
      <c r="C247" s="17" t="inlineStr">
        <is>
          <t>mercedesyoung</t>
        </is>
      </c>
      <c r="D247" s="17" t="inlineStr">
        <is>
          <t>BattleZone</t>
        </is>
      </c>
      <c r="E247" s="17" t="inlineStr">
        <is>
          <t>Mobile</t>
        </is>
      </c>
      <c r="F247" s="17" t="inlineStr">
        <is>
          <t>North</t>
        </is>
      </c>
      <c r="G247" s="17" t="inlineStr">
        <is>
          <t>2025-05-26</t>
        </is>
      </c>
      <c r="H247" s="17" t="n">
        <v>144</v>
      </c>
      <c r="I247" s="17" t="n">
        <v>0</v>
      </c>
      <c r="J247" s="17" t="n"/>
      <c r="K247" s="17" t="inlineStr">
        <is>
          <t>Exited Early</t>
        </is>
      </c>
      <c r="L247" s="17" t="inlineStr">
        <is>
          <t>Free</t>
        </is>
      </c>
      <c r="M247" s="17" t="n">
        <v>18</v>
      </c>
      <c r="N247" s="17" t="inlineStr">
        <is>
          <t>No</t>
        </is>
      </c>
    </row>
    <row r="248">
      <c r="A248" s="17" t="inlineStr">
        <is>
          <t>S00244</t>
        </is>
      </c>
      <c r="B248" s="17" t="inlineStr">
        <is>
          <t>P8810</t>
        </is>
      </c>
      <c r="C248" s="17" t="inlineStr">
        <is>
          <t>tracy64</t>
        </is>
      </c>
      <c r="D248" s="17" t="inlineStr">
        <is>
          <t>Empire Wars</t>
        </is>
      </c>
      <c r="E248" s="17" t="inlineStr">
        <is>
          <t>Console</t>
        </is>
      </c>
      <c r="F248" s="17" t="inlineStr">
        <is>
          <t>North-East</t>
        </is>
      </c>
      <c r="G248" s="17" t="inlineStr">
        <is>
          <t>2025-04-02</t>
        </is>
      </c>
      <c r="H248" s="17" t="n">
        <v>175</v>
      </c>
      <c r="I248" s="17" t="n">
        <v>7.47</v>
      </c>
      <c r="J248" s="17" t="inlineStr">
        <is>
          <t>Skins</t>
        </is>
      </c>
      <c r="K248" s="17" t="inlineStr">
        <is>
          <t>Completed</t>
        </is>
      </c>
      <c r="L248" s="17" t="inlineStr">
        <is>
          <t>Paid</t>
        </is>
      </c>
      <c r="M248" s="17" t="n">
        <v>17</v>
      </c>
      <c r="N248" s="17" t="inlineStr">
        <is>
          <t>Yes</t>
        </is>
      </c>
    </row>
    <row r="249">
      <c r="A249" s="17" t="inlineStr">
        <is>
          <t>S00245</t>
        </is>
      </c>
      <c r="B249" s="17" t="inlineStr">
        <is>
          <t>P8881</t>
        </is>
      </c>
      <c r="C249" s="17" t="inlineStr">
        <is>
          <t>carpenterjohn</t>
        </is>
      </c>
      <c r="D249" s="17" t="inlineStr">
        <is>
          <t>SpeedX</t>
        </is>
      </c>
      <c r="E249" s="17" t="inlineStr">
        <is>
          <t>Mobile</t>
        </is>
      </c>
      <c r="F249" s="17" t="inlineStr">
        <is>
          <t>Central</t>
        </is>
      </c>
      <c r="G249" s="17" t="inlineStr">
        <is>
          <t>2025-01-18</t>
        </is>
      </c>
      <c r="H249" s="17" t="n">
        <v>142</v>
      </c>
      <c r="I249" s="17" t="n">
        <v>0</v>
      </c>
      <c r="J249" s="17" t="n"/>
      <c r="K249" s="17" t="inlineStr">
        <is>
          <t>Completed</t>
        </is>
      </c>
      <c r="L249" s="17" t="inlineStr">
        <is>
          <t>Free</t>
        </is>
      </c>
      <c r="M249" s="17" t="n">
        <v>11</v>
      </c>
      <c r="N249" s="17" t="inlineStr">
        <is>
          <t>No</t>
        </is>
      </c>
    </row>
    <row r="250">
      <c r="A250" s="17" t="inlineStr">
        <is>
          <t>S00246</t>
        </is>
      </c>
      <c r="B250" s="17" t="inlineStr">
        <is>
          <t>P4807</t>
        </is>
      </c>
      <c r="C250" s="17" t="inlineStr">
        <is>
          <t>alexwilson</t>
        </is>
      </c>
      <c r="D250" s="17" t="inlineStr">
        <is>
          <t>BattleZone</t>
        </is>
      </c>
      <c r="E250" s="17" t="inlineStr">
        <is>
          <t>Console</t>
        </is>
      </c>
      <c r="F250" s="17" t="inlineStr">
        <is>
          <t>Central</t>
        </is>
      </c>
      <c r="G250" s="17" t="inlineStr">
        <is>
          <t>2025-01-18</t>
        </is>
      </c>
      <c r="H250" s="17" t="n">
        <v>154</v>
      </c>
      <c r="I250" s="17" t="n">
        <v>0</v>
      </c>
      <c r="J250" s="17" t="n"/>
      <c r="K250" s="17" t="inlineStr">
        <is>
          <t>Completed</t>
        </is>
      </c>
      <c r="L250" s="17" t="inlineStr">
        <is>
          <t>Free</t>
        </is>
      </c>
      <c r="M250" s="17" t="n">
        <v>8</v>
      </c>
      <c r="N250" s="17" t="inlineStr">
        <is>
          <t>Yes</t>
        </is>
      </c>
    </row>
    <row r="251">
      <c r="A251" s="17" t="inlineStr">
        <is>
          <t>S00247</t>
        </is>
      </c>
      <c r="B251" s="17" t="inlineStr">
        <is>
          <t>P3394</t>
        </is>
      </c>
      <c r="C251" s="17" t="inlineStr">
        <is>
          <t>moyerdanny</t>
        </is>
      </c>
      <c r="D251" s="17" t="inlineStr">
        <is>
          <t>SpeedX</t>
        </is>
      </c>
      <c r="E251" s="17" t="inlineStr">
        <is>
          <t>Mobile</t>
        </is>
      </c>
      <c r="F251" s="17" t="inlineStr">
        <is>
          <t>West</t>
        </is>
      </c>
      <c r="G251" s="17" t="inlineStr">
        <is>
          <t>2025-01-23</t>
        </is>
      </c>
      <c r="H251" s="17" t="n">
        <v>33</v>
      </c>
      <c r="I251" s="17" t="n">
        <v>0</v>
      </c>
      <c r="J251" s="17" t="n"/>
      <c r="K251" s="17" t="inlineStr">
        <is>
          <t>Completed</t>
        </is>
      </c>
      <c r="L251" s="17" t="inlineStr">
        <is>
          <t>Free</t>
        </is>
      </c>
      <c r="M251" s="17" t="n">
        <v>9</v>
      </c>
      <c r="N251" s="17" t="inlineStr">
        <is>
          <t>No</t>
        </is>
      </c>
    </row>
    <row r="252">
      <c r="A252" s="17" t="inlineStr">
        <is>
          <t>S00248</t>
        </is>
      </c>
      <c r="B252" s="17" t="inlineStr">
        <is>
          <t>P2659</t>
        </is>
      </c>
      <c r="C252" s="17" t="inlineStr">
        <is>
          <t>joshuasmith</t>
        </is>
      </c>
      <c r="D252" s="17" t="inlineStr">
        <is>
          <t>SpeedX</t>
        </is>
      </c>
      <c r="E252" s="17" t="inlineStr">
        <is>
          <t>Mobile</t>
        </is>
      </c>
      <c r="F252" s="17" t="inlineStr">
        <is>
          <t>West</t>
        </is>
      </c>
      <c r="G252" s="17" t="inlineStr">
        <is>
          <t>2025-04-25</t>
        </is>
      </c>
      <c r="H252" s="17" t="n">
        <v>91</v>
      </c>
      <c r="I252" s="17" t="n">
        <v>0</v>
      </c>
      <c r="J252" s="17" t="n"/>
      <c r="K252" s="17" t="inlineStr">
        <is>
          <t>Exited Early</t>
        </is>
      </c>
      <c r="L252" s="17" t="inlineStr">
        <is>
          <t>Free</t>
        </is>
      </c>
      <c r="M252" s="17" t="n">
        <v>44</v>
      </c>
      <c r="N252" s="17" t="inlineStr">
        <is>
          <t>No</t>
        </is>
      </c>
    </row>
    <row r="253">
      <c r="A253" s="17" t="inlineStr">
        <is>
          <t>S00249</t>
        </is>
      </c>
      <c r="B253" s="17" t="inlineStr">
        <is>
          <t>P3780</t>
        </is>
      </c>
      <c r="C253" s="17" t="inlineStr">
        <is>
          <t>zacharygonzales</t>
        </is>
      </c>
      <c r="D253" s="17" t="inlineStr">
        <is>
          <t>Clash of Realms</t>
        </is>
      </c>
      <c r="E253" s="17" t="inlineStr">
        <is>
          <t>PC</t>
        </is>
      </c>
      <c r="F253" s="17" t="inlineStr">
        <is>
          <t>West</t>
        </is>
      </c>
      <c r="G253" s="17" t="inlineStr">
        <is>
          <t>2025-01-27</t>
        </is>
      </c>
      <c r="H253" s="17" t="n">
        <v>36</v>
      </c>
      <c r="I253" s="17" t="n">
        <v>0</v>
      </c>
      <c r="J253" s="17" t="n"/>
      <c r="K253" s="17" t="inlineStr">
        <is>
          <t>Completed</t>
        </is>
      </c>
      <c r="L253" s="17" t="inlineStr">
        <is>
          <t>Free</t>
        </is>
      </c>
      <c r="M253" s="17" t="n">
        <v>36</v>
      </c>
      <c r="N253" s="17" t="inlineStr">
        <is>
          <t>No</t>
        </is>
      </c>
    </row>
    <row r="254">
      <c r="A254" s="17" t="inlineStr">
        <is>
          <t>S00250</t>
        </is>
      </c>
      <c r="B254" s="17" t="inlineStr">
        <is>
          <t>P2357</t>
        </is>
      </c>
      <c r="C254" s="17" t="inlineStr">
        <is>
          <t>coxlauren</t>
        </is>
      </c>
      <c r="D254" s="17" t="inlineStr">
        <is>
          <t>BattleZone</t>
        </is>
      </c>
      <c r="E254" s="17" t="inlineStr">
        <is>
          <t>Mobile</t>
        </is>
      </c>
      <c r="F254" s="17" t="inlineStr">
        <is>
          <t>North-East</t>
        </is>
      </c>
      <c r="G254" s="17" t="inlineStr">
        <is>
          <t>2025-02-15</t>
        </is>
      </c>
      <c r="H254" s="17" t="n">
        <v>66</v>
      </c>
      <c r="I254" s="17" t="n">
        <v>0</v>
      </c>
      <c r="J254" s="17" t="n"/>
      <c r="K254" s="17" t="inlineStr">
        <is>
          <t>Incomplete</t>
        </is>
      </c>
      <c r="L254" s="17" t="inlineStr">
        <is>
          <t>Paid</t>
        </is>
      </c>
      <c r="M254" s="17" t="n">
        <v>38</v>
      </c>
      <c r="N254" s="17" t="inlineStr">
        <is>
          <t>No</t>
        </is>
      </c>
    </row>
    <row r="255">
      <c r="A255" s="17" t="inlineStr">
        <is>
          <t>S00251</t>
        </is>
      </c>
      <c r="B255" s="17" t="inlineStr">
        <is>
          <t>P6820</t>
        </is>
      </c>
      <c r="C255" s="17" t="inlineStr">
        <is>
          <t>espinozajennifer</t>
        </is>
      </c>
      <c r="D255" s="17" t="inlineStr">
        <is>
          <t>BattleZone</t>
        </is>
      </c>
      <c r="E255" s="17" t="inlineStr">
        <is>
          <t>Console</t>
        </is>
      </c>
      <c r="F255" s="17" t="inlineStr">
        <is>
          <t>North-East</t>
        </is>
      </c>
      <c r="G255" s="17" t="inlineStr">
        <is>
          <t>2025-02-03</t>
        </is>
      </c>
      <c r="H255" s="17" t="n">
        <v>38</v>
      </c>
      <c r="I255" s="17" t="n">
        <v>30.6</v>
      </c>
      <c r="J255" s="17" t="inlineStr">
        <is>
          <t>Subscriptions</t>
        </is>
      </c>
      <c r="K255" s="17" t="inlineStr">
        <is>
          <t>Completed</t>
        </is>
      </c>
      <c r="L255" s="17" t="inlineStr">
        <is>
          <t>Paid</t>
        </is>
      </c>
      <c r="M255" s="17" t="n">
        <v>27</v>
      </c>
      <c r="N255" s="17" t="inlineStr">
        <is>
          <t>No</t>
        </is>
      </c>
    </row>
    <row r="256">
      <c r="A256" s="17" t="inlineStr">
        <is>
          <t>S00252</t>
        </is>
      </c>
      <c r="B256" s="17" t="inlineStr">
        <is>
          <t>P7067</t>
        </is>
      </c>
      <c r="C256" s="17" t="inlineStr">
        <is>
          <t>jackbarnes</t>
        </is>
      </c>
      <c r="D256" s="17" t="inlineStr">
        <is>
          <t>Empire Wars</t>
        </is>
      </c>
      <c r="E256" s="17" t="inlineStr">
        <is>
          <t>Console</t>
        </is>
      </c>
      <c r="F256" s="17" t="inlineStr">
        <is>
          <t>North</t>
        </is>
      </c>
      <c r="G256" s="17" t="inlineStr">
        <is>
          <t>2024-12-13</t>
        </is>
      </c>
      <c r="H256" s="17" t="n">
        <v>177</v>
      </c>
      <c r="I256" s="17" t="n">
        <v>0</v>
      </c>
      <c r="J256" s="17" t="n"/>
      <c r="K256" s="17" t="inlineStr">
        <is>
          <t>Completed</t>
        </is>
      </c>
      <c r="L256" s="17" t="inlineStr">
        <is>
          <t>Free</t>
        </is>
      </c>
      <c r="M256" s="17" t="n">
        <v>25</v>
      </c>
      <c r="N256" s="17" t="inlineStr">
        <is>
          <t>Yes</t>
        </is>
      </c>
    </row>
    <row r="257">
      <c r="A257" s="17" t="inlineStr">
        <is>
          <t>S00253</t>
        </is>
      </c>
      <c r="B257" s="17" t="inlineStr">
        <is>
          <t>P6499</t>
        </is>
      </c>
      <c r="C257" s="17" t="inlineStr">
        <is>
          <t>juanjones</t>
        </is>
      </c>
      <c r="D257" s="17" t="inlineStr">
        <is>
          <t>Empire Wars</t>
        </is>
      </c>
      <c r="E257" s="17" t="inlineStr">
        <is>
          <t>Mobile</t>
        </is>
      </c>
      <c r="F257" s="17" t="inlineStr">
        <is>
          <t>West</t>
        </is>
      </c>
      <c r="G257" s="17" t="inlineStr">
        <is>
          <t>2024-12-13</t>
        </is>
      </c>
      <c r="H257" s="17" t="n">
        <v>133</v>
      </c>
      <c r="I257" s="17" t="n">
        <v>8.050000000000001</v>
      </c>
      <c r="J257" s="17" t="inlineStr">
        <is>
          <t>Skins</t>
        </is>
      </c>
      <c r="K257" s="17" t="inlineStr">
        <is>
          <t>Completed</t>
        </is>
      </c>
      <c r="L257" s="17" t="inlineStr">
        <is>
          <t>Paid</t>
        </is>
      </c>
      <c r="M257" s="17" t="n">
        <v>35</v>
      </c>
      <c r="N257" s="17" t="inlineStr">
        <is>
          <t>No</t>
        </is>
      </c>
    </row>
    <row r="258">
      <c r="A258" s="17" t="inlineStr">
        <is>
          <t>S00254</t>
        </is>
      </c>
      <c r="B258" s="17" t="inlineStr">
        <is>
          <t>P5142</t>
        </is>
      </c>
      <c r="C258" s="17" t="inlineStr">
        <is>
          <t>georgewarren</t>
        </is>
      </c>
      <c r="D258" s="17" t="inlineStr">
        <is>
          <t>Clash of Realms</t>
        </is>
      </c>
      <c r="E258" s="17" t="inlineStr">
        <is>
          <t>PC</t>
        </is>
      </c>
      <c r="F258" s="17" t="inlineStr">
        <is>
          <t>South</t>
        </is>
      </c>
      <c r="G258" s="17" t="inlineStr">
        <is>
          <t>2025-04-17</t>
        </is>
      </c>
      <c r="H258" s="17" t="n">
        <v>116</v>
      </c>
      <c r="I258" s="17" t="n">
        <v>0</v>
      </c>
      <c r="J258" s="17" t="n"/>
      <c r="K258" s="17" t="inlineStr">
        <is>
          <t>Completed</t>
        </is>
      </c>
      <c r="L258" s="17" t="inlineStr">
        <is>
          <t>Free</t>
        </is>
      </c>
      <c r="M258" s="17" t="n">
        <v>40</v>
      </c>
      <c r="N258" s="17" t="inlineStr">
        <is>
          <t>No</t>
        </is>
      </c>
    </row>
    <row r="259">
      <c r="A259" s="17" t="inlineStr">
        <is>
          <t>S00255</t>
        </is>
      </c>
      <c r="B259" s="17" t="inlineStr">
        <is>
          <t>P4616</t>
        </is>
      </c>
      <c r="C259" s="17" t="inlineStr">
        <is>
          <t>danieldonaldson</t>
        </is>
      </c>
      <c r="D259" s="17" t="inlineStr">
        <is>
          <t>Empire Wars</t>
        </is>
      </c>
      <c r="E259" s="17" t="inlineStr">
        <is>
          <t>PC</t>
        </is>
      </c>
      <c r="F259" s="17" t="inlineStr">
        <is>
          <t>West</t>
        </is>
      </c>
      <c r="G259" s="17" t="inlineStr">
        <is>
          <t>2024-12-20</t>
        </is>
      </c>
      <c r="H259" s="17" t="n">
        <v>72</v>
      </c>
      <c r="I259" s="17" t="n">
        <v>0</v>
      </c>
      <c r="J259" s="17" t="n"/>
      <c r="K259" s="17" t="inlineStr">
        <is>
          <t>Completed</t>
        </is>
      </c>
      <c r="L259" s="17" t="inlineStr">
        <is>
          <t>Free</t>
        </is>
      </c>
      <c r="M259" s="17" t="n">
        <v>34</v>
      </c>
      <c r="N259" s="17" t="inlineStr">
        <is>
          <t>No</t>
        </is>
      </c>
    </row>
    <row r="260">
      <c r="A260" s="17" t="inlineStr">
        <is>
          <t>S00256</t>
        </is>
      </c>
      <c r="B260" s="17" t="inlineStr">
        <is>
          <t>P7433</t>
        </is>
      </c>
      <c r="C260" s="17" t="inlineStr">
        <is>
          <t>wsanders</t>
        </is>
      </c>
      <c r="D260" s="17" t="inlineStr">
        <is>
          <t>Empire Wars</t>
        </is>
      </c>
      <c r="E260" s="17" t="inlineStr">
        <is>
          <t>Console</t>
        </is>
      </c>
      <c r="F260" s="17" t="inlineStr">
        <is>
          <t>West</t>
        </is>
      </c>
      <c r="G260" s="17" t="inlineStr">
        <is>
          <t>2025-04-11</t>
        </is>
      </c>
      <c r="H260" s="17" t="n">
        <v>51</v>
      </c>
      <c r="I260" s="17" t="n">
        <v>0</v>
      </c>
      <c r="J260" s="17" t="n"/>
      <c r="K260" s="17" t="inlineStr">
        <is>
          <t>Completed</t>
        </is>
      </c>
      <c r="L260" s="17" t="inlineStr">
        <is>
          <t>Free</t>
        </is>
      </c>
      <c r="M260" s="17" t="n">
        <v>30</v>
      </c>
      <c r="N260" s="17" t="inlineStr">
        <is>
          <t>No</t>
        </is>
      </c>
    </row>
    <row r="261">
      <c r="A261" s="17" t="inlineStr">
        <is>
          <t>S00257</t>
        </is>
      </c>
      <c r="B261" s="17" t="inlineStr">
        <is>
          <t>P8958</t>
        </is>
      </c>
      <c r="C261" s="17" t="inlineStr">
        <is>
          <t>dunnmelissa</t>
        </is>
      </c>
      <c r="D261" s="17" t="inlineStr">
        <is>
          <t>Clash of Realms</t>
        </is>
      </c>
      <c r="E261" s="17" t="inlineStr">
        <is>
          <t>Mobile</t>
        </is>
      </c>
      <c r="F261" s="17" t="inlineStr">
        <is>
          <t>North</t>
        </is>
      </c>
      <c r="G261" s="17" t="inlineStr">
        <is>
          <t>2025-01-24</t>
        </is>
      </c>
      <c r="H261" s="17" t="n">
        <v>19</v>
      </c>
      <c r="I261" s="17" t="n">
        <v>0</v>
      </c>
      <c r="J261" s="17" t="n"/>
      <c r="K261" s="17" t="inlineStr">
        <is>
          <t>Completed</t>
        </is>
      </c>
      <c r="L261" s="17" t="inlineStr">
        <is>
          <t>Free</t>
        </is>
      </c>
      <c r="M261" s="17" t="n">
        <v>6</v>
      </c>
      <c r="N261" s="17" t="inlineStr">
        <is>
          <t>No</t>
        </is>
      </c>
    </row>
    <row r="262">
      <c r="A262" s="17" t="inlineStr">
        <is>
          <t>S00258</t>
        </is>
      </c>
      <c r="B262" s="17" t="inlineStr">
        <is>
          <t>P1212</t>
        </is>
      </c>
      <c r="C262" s="17" t="inlineStr">
        <is>
          <t>hporter</t>
        </is>
      </c>
      <c r="D262" s="17" t="inlineStr">
        <is>
          <t>Zombie Rush</t>
        </is>
      </c>
      <c r="E262" s="17" t="inlineStr">
        <is>
          <t>Mobile</t>
        </is>
      </c>
      <c r="F262" s="17" t="inlineStr">
        <is>
          <t>South</t>
        </is>
      </c>
      <c r="G262" s="17" t="inlineStr">
        <is>
          <t>2025-01-27</t>
        </is>
      </c>
      <c r="H262" s="17" t="n">
        <v>142</v>
      </c>
      <c r="I262" s="17" t="n">
        <v>8.640000000000001</v>
      </c>
      <c r="J262" s="17" t="inlineStr">
        <is>
          <t>Boosters</t>
        </is>
      </c>
      <c r="K262" s="17" t="inlineStr">
        <is>
          <t>Crashed</t>
        </is>
      </c>
      <c r="L262" s="17" t="inlineStr">
        <is>
          <t>Paid</t>
        </is>
      </c>
      <c r="M262" s="17" t="n">
        <v>25</v>
      </c>
      <c r="N262" s="17" t="inlineStr">
        <is>
          <t>No</t>
        </is>
      </c>
    </row>
    <row r="263">
      <c r="A263" s="17" t="inlineStr">
        <is>
          <t>S00259</t>
        </is>
      </c>
      <c r="B263" s="17" t="inlineStr">
        <is>
          <t>P8750</t>
        </is>
      </c>
      <c r="C263" s="17" t="inlineStr">
        <is>
          <t>garciaisabel</t>
        </is>
      </c>
      <c r="D263" s="17" t="inlineStr">
        <is>
          <t>Empire Wars</t>
        </is>
      </c>
      <c r="E263" s="17" t="inlineStr">
        <is>
          <t>PC</t>
        </is>
      </c>
      <c r="F263" s="17" t="inlineStr">
        <is>
          <t>North</t>
        </is>
      </c>
      <c r="G263" s="17" t="inlineStr">
        <is>
          <t>2025-04-06</t>
        </is>
      </c>
      <c r="H263" s="17" t="n">
        <v>31</v>
      </c>
      <c r="I263" s="17" t="n">
        <v>0</v>
      </c>
      <c r="J263" s="17" t="n"/>
      <c r="K263" s="17" t="inlineStr">
        <is>
          <t>Completed</t>
        </is>
      </c>
      <c r="L263" s="17" t="inlineStr">
        <is>
          <t>Free</t>
        </is>
      </c>
      <c r="M263" s="17" t="n">
        <v>49</v>
      </c>
      <c r="N263" s="17" t="inlineStr">
        <is>
          <t>No</t>
        </is>
      </c>
    </row>
    <row r="264">
      <c r="A264" s="17" t="inlineStr">
        <is>
          <t>S00260</t>
        </is>
      </c>
      <c r="B264" s="17" t="inlineStr">
        <is>
          <t>P2956</t>
        </is>
      </c>
      <c r="C264" s="17" t="inlineStr">
        <is>
          <t>rsuarez</t>
        </is>
      </c>
      <c r="D264" s="17" t="inlineStr">
        <is>
          <t>Zombie Rush</t>
        </is>
      </c>
      <c r="E264" s="17" t="inlineStr">
        <is>
          <t>Console</t>
        </is>
      </c>
      <c r="F264" s="17" t="inlineStr">
        <is>
          <t>Central</t>
        </is>
      </c>
      <c r="G264" s="17" t="inlineStr">
        <is>
          <t>2025-03-05</t>
        </is>
      </c>
      <c r="H264" s="17" t="n">
        <v>26</v>
      </c>
      <c r="I264" s="17" t="n">
        <v>0</v>
      </c>
      <c r="J264" s="17" t="n"/>
      <c r="K264" s="17" t="inlineStr">
        <is>
          <t>Completed</t>
        </is>
      </c>
      <c r="L264" s="17" t="inlineStr">
        <is>
          <t>Paid</t>
        </is>
      </c>
      <c r="M264" s="17" t="n">
        <v>5</v>
      </c>
      <c r="N264" s="17" t="inlineStr">
        <is>
          <t>No</t>
        </is>
      </c>
    </row>
    <row r="265">
      <c r="A265" s="17" t="inlineStr">
        <is>
          <t>S00261</t>
        </is>
      </c>
      <c r="B265" s="17" t="inlineStr">
        <is>
          <t>P7483</t>
        </is>
      </c>
      <c r="C265" s="17" t="inlineStr">
        <is>
          <t>murrayaaron</t>
        </is>
      </c>
      <c r="D265" s="17" t="inlineStr">
        <is>
          <t>Zombie Rush</t>
        </is>
      </c>
      <c r="E265" s="17" t="inlineStr">
        <is>
          <t>Console</t>
        </is>
      </c>
      <c r="F265" s="17" t="inlineStr">
        <is>
          <t>East</t>
        </is>
      </c>
      <c r="G265" s="17" t="inlineStr">
        <is>
          <t>2025-06-07</t>
        </is>
      </c>
      <c r="H265" s="17" t="n">
        <v>144</v>
      </c>
      <c r="I265" s="17" t="n">
        <v>40.29</v>
      </c>
      <c r="J265" s="17" t="inlineStr">
        <is>
          <t>Subscriptions</t>
        </is>
      </c>
      <c r="K265" s="17" t="inlineStr">
        <is>
          <t>Exited Early</t>
        </is>
      </c>
      <c r="L265" s="17" t="inlineStr">
        <is>
          <t>Paid</t>
        </is>
      </c>
      <c r="M265" s="17" t="n">
        <v>1</v>
      </c>
      <c r="N265" s="17" t="inlineStr">
        <is>
          <t>Yes</t>
        </is>
      </c>
    </row>
    <row r="266">
      <c r="A266" s="17" t="inlineStr">
        <is>
          <t>S00262</t>
        </is>
      </c>
      <c r="B266" s="17" t="inlineStr">
        <is>
          <t>P3905</t>
        </is>
      </c>
      <c r="C266" s="17" t="inlineStr">
        <is>
          <t>stephen73</t>
        </is>
      </c>
      <c r="D266" s="17" t="inlineStr">
        <is>
          <t>Empire Wars</t>
        </is>
      </c>
      <c r="E266" s="17" t="inlineStr">
        <is>
          <t>PC</t>
        </is>
      </c>
      <c r="F266" s="17" t="inlineStr">
        <is>
          <t>North</t>
        </is>
      </c>
      <c r="G266" s="17" t="inlineStr">
        <is>
          <t>2025-04-11</t>
        </is>
      </c>
      <c r="H266" s="17" t="n">
        <v>6</v>
      </c>
      <c r="I266" s="17" t="n">
        <v>0</v>
      </c>
      <c r="J266" s="17" t="n"/>
      <c r="K266" s="17" t="inlineStr">
        <is>
          <t>Completed</t>
        </is>
      </c>
      <c r="L266" s="17" t="inlineStr">
        <is>
          <t>Free</t>
        </is>
      </c>
      <c r="M266" s="17" t="n">
        <v>7</v>
      </c>
      <c r="N266" s="17" t="inlineStr">
        <is>
          <t>No</t>
        </is>
      </c>
    </row>
    <row r="267">
      <c r="A267" s="17" t="inlineStr">
        <is>
          <t>S00263</t>
        </is>
      </c>
      <c r="B267" s="17" t="inlineStr">
        <is>
          <t>P2082</t>
        </is>
      </c>
      <c r="C267" s="17" t="inlineStr">
        <is>
          <t>iadkins</t>
        </is>
      </c>
      <c r="D267" s="17" t="inlineStr">
        <is>
          <t>Zombie Rush</t>
        </is>
      </c>
      <c r="E267" s="17" t="inlineStr">
        <is>
          <t>Console</t>
        </is>
      </c>
      <c r="F267" s="17" t="inlineStr">
        <is>
          <t>North</t>
        </is>
      </c>
      <c r="G267" s="17" t="inlineStr">
        <is>
          <t>2025-05-27</t>
        </is>
      </c>
      <c r="H267" s="17" t="n">
        <v>176</v>
      </c>
      <c r="I267" s="17" t="n">
        <v>44.39</v>
      </c>
      <c r="J267" s="17" t="inlineStr">
        <is>
          <t>Battle Pass</t>
        </is>
      </c>
      <c r="K267" s="17" t="inlineStr">
        <is>
          <t>Completed</t>
        </is>
      </c>
      <c r="L267" s="17" t="inlineStr">
        <is>
          <t>Paid</t>
        </is>
      </c>
      <c r="M267" s="17" t="n">
        <v>18</v>
      </c>
      <c r="N267" s="17" t="inlineStr">
        <is>
          <t>Yes</t>
        </is>
      </c>
    </row>
    <row r="268">
      <c r="A268" s="17" t="inlineStr">
        <is>
          <t>S00264</t>
        </is>
      </c>
      <c r="B268" s="17" t="inlineStr">
        <is>
          <t>P6567</t>
        </is>
      </c>
      <c r="C268" s="17" t="inlineStr">
        <is>
          <t>smithshawn</t>
        </is>
      </c>
      <c r="D268" s="17" t="inlineStr">
        <is>
          <t>BattleZone</t>
        </is>
      </c>
      <c r="E268" s="17" t="inlineStr">
        <is>
          <t>PC</t>
        </is>
      </c>
      <c r="F268" s="17" t="inlineStr">
        <is>
          <t>East</t>
        </is>
      </c>
      <c r="G268" s="17" t="inlineStr">
        <is>
          <t>2024-12-24</t>
        </is>
      </c>
      <c r="H268" s="17" t="n">
        <v>175</v>
      </c>
      <c r="I268" s="17" t="n">
        <v>0</v>
      </c>
      <c r="J268" s="17" t="n"/>
      <c r="K268" s="17" t="inlineStr">
        <is>
          <t>Incomplete</t>
        </is>
      </c>
      <c r="L268" s="17" t="inlineStr">
        <is>
          <t>Free</t>
        </is>
      </c>
      <c r="M268" s="17" t="n">
        <v>22</v>
      </c>
      <c r="N268" s="17" t="inlineStr">
        <is>
          <t>Yes</t>
        </is>
      </c>
    </row>
    <row r="269">
      <c r="A269" s="17" t="inlineStr">
        <is>
          <t>S00265</t>
        </is>
      </c>
      <c r="B269" s="17" t="inlineStr">
        <is>
          <t>P2068</t>
        </is>
      </c>
      <c r="C269" s="17" t="inlineStr">
        <is>
          <t>vanessasmith</t>
        </is>
      </c>
      <c r="D269" s="17" t="inlineStr">
        <is>
          <t>SpeedX</t>
        </is>
      </c>
      <c r="E269" s="17" t="inlineStr">
        <is>
          <t>Mobile</t>
        </is>
      </c>
      <c r="F269" s="17" t="inlineStr">
        <is>
          <t>South</t>
        </is>
      </c>
      <c r="G269" s="17" t="inlineStr">
        <is>
          <t>2025-01-23</t>
        </is>
      </c>
      <c r="H269" s="17" t="n">
        <v>131</v>
      </c>
      <c r="I269" s="17" t="n">
        <v>0</v>
      </c>
      <c r="J269" s="17" t="n"/>
      <c r="K269" s="17" t="inlineStr">
        <is>
          <t>Crashed</t>
        </is>
      </c>
      <c r="L269" s="17" t="inlineStr">
        <is>
          <t>Free</t>
        </is>
      </c>
      <c r="M269" s="17" t="n">
        <v>3</v>
      </c>
      <c r="N269" s="17" t="inlineStr">
        <is>
          <t>No</t>
        </is>
      </c>
    </row>
    <row r="270">
      <c r="A270" s="17" t="inlineStr">
        <is>
          <t>S00266</t>
        </is>
      </c>
      <c r="B270" s="17" t="inlineStr">
        <is>
          <t>P4801</t>
        </is>
      </c>
      <c r="C270" s="17" t="inlineStr">
        <is>
          <t>annaroy</t>
        </is>
      </c>
      <c r="D270" s="17" t="inlineStr">
        <is>
          <t>Clash of Realms</t>
        </is>
      </c>
      <c r="E270" s="17" t="inlineStr">
        <is>
          <t>Mobile</t>
        </is>
      </c>
      <c r="F270" s="17" t="inlineStr">
        <is>
          <t>West</t>
        </is>
      </c>
      <c r="G270" s="17" t="inlineStr">
        <is>
          <t>2025-04-21</t>
        </is>
      </c>
      <c r="H270" s="17" t="n">
        <v>17</v>
      </c>
      <c r="I270" s="17" t="n">
        <v>0</v>
      </c>
      <c r="J270" s="17" t="n"/>
      <c r="K270" s="17" t="inlineStr">
        <is>
          <t>Completed</t>
        </is>
      </c>
      <c r="L270" s="17" t="inlineStr">
        <is>
          <t>Paid</t>
        </is>
      </c>
      <c r="M270" s="17" t="n">
        <v>37</v>
      </c>
      <c r="N270" s="17" t="inlineStr">
        <is>
          <t>No</t>
        </is>
      </c>
    </row>
    <row r="271">
      <c r="A271" s="17" t="inlineStr">
        <is>
          <t>S00267</t>
        </is>
      </c>
      <c r="B271" s="17" t="inlineStr">
        <is>
          <t>P9642</t>
        </is>
      </c>
      <c r="C271" s="17" t="inlineStr">
        <is>
          <t>dfloyd</t>
        </is>
      </c>
      <c r="D271" s="17" t="inlineStr">
        <is>
          <t>Empire Wars</t>
        </is>
      </c>
      <c r="E271" s="17" t="inlineStr">
        <is>
          <t>Mobile</t>
        </is>
      </c>
      <c r="F271" s="17" t="inlineStr">
        <is>
          <t>East</t>
        </is>
      </c>
      <c r="G271" s="17" t="inlineStr">
        <is>
          <t>2025-06-02</t>
        </is>
      </c>
      <c r="H271" s="17" t="n">
        <v>128</v>
      </c>
      <c r="I271" s="17" t="n">
        <v>0</v>
      </c>
      <c r="J271" s="17" t="n"/>
      <c r="K271" s="17" t="inlineStr">
        <is>
          <t>Completed</t>
        </is>
      </c>
      <c r="L271" s="17" t="inlineStr">
        <is>
          <t>Free</t>
        </is>
      </c>
      <c r="M271" s="17" t="n">
        <v>15</v>
      </c>
      <c r="N271" s="17" t="inlineStr">
        <is>
          <t>No</t>
        </is>
      </c>
    </row>
    <row r="272">
      <c r="A272" s="17" t="inlineStr">
        <is>
          <t>S00268</t>
        </is>
      </c>
      <c r="B272" s="17" t="inlineStr">
        <is>
          <t>P4625</t>
        </is>
      </c>
      <c r="C272" s="17" t="inlineStr">
        <is>
          <t>maryrodriguez</t>
        </is>
      </c>
      <c r="D272" s="17" t="inlineStr">
        <is>
          <t>Empire Wars</t>
        </is>
      </c>
      <c r="E272" s="17" t="inlineStr">
        <is>
          <t>PC</t>
        </is>
      </c>
      <c r="F272" s="17" t="inlineStr">
        <is>
          <t>North</t>
        </is>
      </c>
      <c r="G272" s="17" t="inlineStr">
        <is>
          <t>2025-05-03</t>
        </is>
      </c>
      <c r="H272" s="17" t="n">
        <v>39</v>
      </c>
      <c r="I272" s="17" t="n">
        <v>0</v>
      </c>
      <c r="J272" s="17" t="n"/>
      <c r="K272" s="17" t="inlineStr">
        <is>
          <t>Completed</t>
        </is>
      </c>
      <c r="L272" s="17" t="inlineStr">
        <is>
          <t>Free</t>
        </is>
      </c>
      <c r="M272" s="17" t="n">
        <v>18</v>
      </c>
      <c r="N272" s="17" t="inlineStr">
        <is>
          <t>No</t>
        </is>
      </c>
    </row>
    <row r="273">
      <c r="A273" s="17" t="inlineStr">
        <is>
          <t>S00269</t>
        </is>
      </c>
      <c r="B273" s="17" t="inlineStr">
        <is>
          <t>P3615</t>
        </is>
      </c>
      <c r="C273" s="17" t="inlineStr">
        <is>
          <t>tamarafowler</t>
        </is>
      </c>
      <c r="D273" s="17" t="inlineStr">
        <is>
          <t>Zombie Rush</t>
        </is>
      </c>
      <c r="E273" s="17" t="inlineStr">
        <is>
          <t>Mobile</t>
        </is>
      </c>
      <c r="F273" s="17" t="inlineStr">
        <is>
          <t>East</t>
        </is>
      </c>
      <c r="G273" s="17" t="inlineStr">
        <is>
          <t>2025-05-17</t>
        </is>
      </c>
      <c r="H273" s="17" t="n">
        <v>122</v>
      </c>
      <c r="I273" s="17" t="n">
        <v>0</v>
      </c>
      <c r="J273" s="17" t="n"/>
      <c r="K273" s="17" t="inlineStr">
        <is>
          <t>Completed</t>
        </is>
      </c>
      <c r="L273" s="17" t="inlineStr">
        <is>
          <t>Free</t>
        </is>
      </c>
      <c r="M273" s="17" t="n">
        <v>28</v>
      </c>
      <c r="N273" s="17" t="inlineStr">
        <is>
          <t>No</t>
        </is>
      </c>
    </row>
    <row r="274">
      <c r="A274" s="17" t="inlineStr">
        <is>
          <t>S00270</t>
        </is>
      </c>
      <c r="B274" s="17" t="inlineStr">
        <is>
          <t>P9094</t>
        </is>
      </c>
      <c r="C274" s="17" t="inlineStr">
        <is>
          <t>nsmith</t>
        </is>
      </c>
      <c r="D274" s="17" t="inlineStr">
        <is>
          <t>Clash of Realms</t>
        </is>
      </c>
      <c r="E274" s="17" t="inlineStr">
        <is>
          <t>PC</t>
        </is>
      </c>
      <c r="F274" s="17" t="inlineStr">
        <is>
          <t>West</t>
        </is>
      </c>
      <c r="G274" s="17" t="inlineStr">
        <is>
          <t>2025-01-16</t>
        </is>
      </c>
      <c r="H274" s="17" t="n">
        <v>15</v>
      </c>
      <c r="I274" s="17" t="n">
        <v>0</v>
      </c>
      <c r="J274" s="17" t="n"/>
      <c r="K274" s="17" t="inlineStr">
        <is>
          <t>Completed</t>
        </is>
      </c>
      <c r="L274" s="17" t="inlineStr">
        <is>
          <t>Paid</t>
        </is>
      </c>
      <c r="M274" s="17" t="n">
        <v>47</v>
      </c>
      <c r="N274" s="17" t="inlineStr">
        <is>
          <t>No</t>
        </is>
      </c>
    </row>
    <row r="275">
      <c r="A275" s="17" t="inlineStr">
        <is>
          <t>S00271</t>
        </is>
      </c>
      <c r="B275" s="17" t="inlineStr">
        <is>
          <t>P7072</t>
        </is>
      </c>
      <c r="C275" s="17" t="inlineStr">
        <is>
          <t>matthew23</t>
        </is>
      </c>
      <c r="D275" s="17" t="inlineStr">
        <is>
          <t>Zombie Rush</t>
        </is>
      </c>
      <c r="E275" s="17" t="inlineStr">
        <is>
          <t>Console</t>
        </is>
      </c>
      <c r="F275" s="17" t="inlineStr">
        <is>
          <t>North</t>
        </is>
      </c>
      <c r="G275" s="17" t="inlineStr">
        <is>
          <t>2025-04-11</t>
        </is>
      </c>
      <c r="H275" s="17" t="n">
        <v>166</v>
      </c>
      <c r="I275" s="17" t="n">
        <v>47.72</v>
      </c>
      <c r="J275" s="17" t="inlineStr">
        <is>
          <t>Skins</t>
        </is>
      </c>
      <c r="K275" s="17" t="inlineStr">
        <is>
          <t>Completed</t>
        </is>
      </c>
      <c r="L275" s="17" t="inlineStr">
        <is>
          <t>Paid</t>
        </is>
      </c>
      <c r="M275" s="17" t="n">
        <v>40</v>
      </c>
      <c r="N275" s="17" t="inlineStr">
        <is>
          <t>Yes</t>
        </is>
      </c>
    </row>
    <row r="276">
      <c r="A276" s="17" t="inlineStr">
        <is>
          <t>S00272</t>
        </is>
      </c>
      <c r="B276" s="17" t="inlineStr">
        <is>
          <t>P4911</t>
        </is>
      </c>
      <c r="C276" s="17" t="inlineStr">
        <is>
          <t>mmorgan</t>
        </is>
      </c>
      <c r="D276" s="17" t="inlineStr">
        <is>
          <t>SpeedX</t>
        </is>
      </c>
      <c r="E276" s="17" t="inlineStr">
        <is>
          <t>PC</t>
        </is>
      </c>
      <c r="F276" s="17" t="inlineStr">
        <is>
          <t>North</t>
        </is>
      </c>
      <c r="G276" s="17" t="inlineStr">
        <is>
          <t>2025-03-05</t>
        </is>
      </c>
      <c r="H276" s="17" t="n">
        <v>91</v>
      </c>
      <c r="I276" s="17" t="n">
        <v>45.51</v>
      </c>
      <c r="J276" s="17" t="inlineStr">
        <is>
          <t>Skins</t>
        </is>
      </c>
      <c r="K276" s="17" t="inlineStr">
        <is>
          <t>Completed</t>
        </is>
      </c>
      <c r="L276" s="17" t="inlineStr">
        <is>
          <t>Paid</t>
        </is>
      </c>
      <c r="M276" s="17" t="n">
        <v>8</v>
      </c>
      <c r="N276" s="17" t="inlineStr">
        <is>
          <t>Yes</t>
        </is>
      </c>
    </row>
    <row r="277">
      <c r="A277" s="17" t="inlineStr">
        <is>
          <t>S00273</t>
        </is>
      </c>
      <c r="B277" s="17" t="inlineStr">
        <is>
          <t>P5122</t>
        </is>
      </c>
      <c r="C277" s="17" t="inlineStr">
        <is>
          <t>ronaldkennedy</t>
        </is>
      </c>
      <c r="D277" s="17" t="inlineStr">
        <is>
          <t>BattleZone</t>
        </is>
      </c>
      <c r="E277" s="17" t="inlineStr">
        <is>
          <t>PC</t>
        </is>
      </c>
      <c r="F277" s="17" t="inlineStr">
        <is>
          <t>North</t>
        </is>
      </c>
      <c r="G277" s="17" t="inlineStr">
        <is>
          <t>2025-04-23</t>
        </is>
      </c>
      <c r="H277" s="17" t="n">
        <v>52</v>
      </c>
      <c r="I277" s="17" t="n">
        <v>0</v>
      </c>
      <c r="J277" s="17" t="n"/>
      <c r="K277" s="17" t="inlineStr">
        <is>
          <t>Completed</t>
        </is>
      </c>
      <c r="L277" s="17" t="inlineStr">
        <is>
          <t>Free</t>
        </is>
      </c>
      <c r="M277" s="17" t="n">
        <v>3</v>
      </c>
      <c r="N277" s="17" t="inlineStr">
        <is>
          <t>No</t>
        </is>
      </c>
    </row>
    <row r="278">
      <c r="A278" s="17" t="inlineStr">
        <is>
          <t>S00274</t>
        </is>
      </c>
      <c r="B278" s="17" t="inlineStr">
        <is>
          <t>P4950</t>
        </is>
      </c>
      <c r="C278" s="17" t="inlineStr">
        <is>
          <t>megan08</t>
        </is>
      </c>
      <c r="D278" s="17" t="inlineStr">
        <is>
          <t>Empire Wars</t>
        </is>
      </c>
      <c r="E278" s="17" t="inlineStr">
        <is>
          <t>PC</t>
        </is>
      </c>
      <c r="F278" s="17" t="inlineStr">
        <is>
          <t>North</t>
        </is>
      </c>
      <c r="G278" s="17" t="inlineStr">
        <is>
          <t>2025-01-13</t>
        </is>
      </c>
      <c r="H278" s="17" t="n">
        <v>130</v>
      </c>
      <c r="I278" s="17" t="n">
        <v>0</v>
      </c>
      <c r="J278" s="17" t="n"/>
      <c r="K278" s="17" t="inlineStr">
        <is>
          <t>Completed</t>
        </is>
      </c>
      <c r="L278" s="17" t="inlineStr">
        <is>
          <t>Free</t>
        </is>
      </c>
      <c r="M278" s="17" t="n">
        <v>49</v>
      </c>
      <c r="N278" s="17" t="inlineStr">
        <is>
          <t>No</t>
        </is>
      </c>
    </row>
    <row r="279">
      <c r="A279" s="17" t="inlineStr">
        <is>
          <t>S00275</t>
        </is>
      </c>
      <c r="B279" s="17" t="inlineStr">
        <is>
          <t>P7472</t>
        </is>
      </c>
      <c r="C279" s="17" t="inlineStr">
        <is>
          <t>kcook</t>
        </is>
      </c>
      <c r="D279" s="17" t="inlineStr">
        <is>
          <t>Empire Wars</t>
        </is>
      </c>
      <c r="E279" s="17" t="inlineStr">
        <is>
          <t>Mobile</t>
        </is>
      </c>
      <c r="F279" s="17" t="inlineStr">
        <is>
          <t>Central</t>
        </is>
      </c>
      <c r="G279" s="17" t="inlineStr">
        <is>
          <t>2025-04-03</t>
        </is>
      </c>
      <c r="H279" s="17" t="n">
        <v>87</v>
      </c>
      <c r="I279" s="17" t="n">
        <v>0</v>
      </c>
      <c r="J279" s="17" t="n"/>
      <c r="K279" s="17" t="inlineStr">
        <is>
          <t>Completed</t>
        </is>
      </c>
      <c r="L279" s="17" t="inlineStr">
        <is>
          <t>Free</t>
        </is>
      </c>
      <c r="M279" s="17" t="n">
        <v>33</v>
      </c>
      <c r="N279" s="17" t="inlineStr">
        <is>
          <t>No</t>
        </is>
      </c>
    </row>
    <row r="280">
      <c r="A280" s="17" t="inlineStr">
        <is>
          <t>S00276</t>
        </is>
      </c>
      <c r="B280" s="17" t="inlineStr">
        <is>
          <t>P2232</t>
        </is>
      </c>
      <c r="C280" s="17" t="inlineStr">
        <is>
          <t>donovantrevor</t>
        </is>
      </c>
      <c r="D280" s="17" t="inlineStr">
        <is>
          <t>Zombie Rush</t>
        </is>
      </c>
      <c r="E280" s="17" t="inlineStr">
        <is>
          <t>PC</t>
        </is>
      </c>
      <c r="F280" s="17" t="inlineStr">
        <is>
          <t>North</t>
        </is>
      </c>
      <c r="G280" s="17" t="inlineStr">
        <is>
          <t>2025-03-22</t>
        </is>
      </c>
      <c r="H280" s="17" t="n">
        <v>71</v>
      </c>
      <c r="I280" s="17" t="n">
        <v>0</v>
      </c>
      <c r="J280" s="17" t="n"/>
      <c r="K280" s="17" t="inlineStr">
        <is>
          <t>Completed</t>
        </is>
      </c>
      <c r="L280" s="17" t="inlineStr">
        <is>
          <t>Free</t>
        </is>
      </c>
      <c r="M280" s="17" t="n">
        <v>38</v>
      </c>
      <c r="N280" s="17" t="inlineStr">
        <is>
          <t>No</t>
        </is>
      </c>
    </row>
    <row r="281">
      <c r="A281" s="17" t="inlineStr">
        <is>
          <t>S00277</t>
        </is>
      </c>
      <c r="B281" s="17" t="inlineStr">
        <is>
          <t>P8649</t>
        </is>
      </c>
      <c r="C281" s="17" t="inlineStr">
        <is>
          <t>melanie33</t>
        </is>
      </c>
      <c r="D281" s="17" t="inlineStr">
        <is>
          <t>Zombie Rush</t>
        </is>
      </c>
      <c r="E281" s="17" t="inlineStr">
        <is>
          <t>Mobile</t>
        </is>
      </c>
      <c r="F281" s="17" t="inlineStr">
        <is>
          <t>North</t>
        </is>
      </c>
      <c r="G281" s="17" t="inlineStr">
        <is>
          <t>2025-03-19</t>
        </is>
      </c>
      <c r="H281" s="17" t="n">
        <v>63</v>
      </c>
      <c r="I281" s="17" t="n">
        <v>0</v>
      </c>
      <c r="J281" s="17" t="n"/>
      <c r="K281" s="17" t="inlineStr">
        <is>
          <t>Completed</t>
        </is>
      </c>
      <c r="L281" s="17" t="inlineStr">
        <is>
          <t>Free</t>
        </is>
      </c>
      <c r="M281" s="17" t="n">
        <v>49</v>
      </c>
      <c r="N281" s="17" t="inlineStr">
        <is>
          <t>No</t>
        </is>
      </c>
    </row>
    <row r="282">
      <c r="A282" s="17" t="inlineStr">
        <is>
          <t>S00278</t>
        </is>
      </c>
      <c r="B282" s="17" t="inlineStr">
        <is>
          <t>P7465</t>
        </is>
      </c>
      <c r="C282" s="17" t="inlineStr">
        <is>
          <t>foxdawn</t>
        </is>
      </c>
      <c r="D282" s="17" t="inlineStr">
        <is>
          <t>Zombie Rush</t>
        </is>
      </c>
      <c r="E282" s="17" t="inlineStr">
        <is>
          <t>Console</t>
        </is>
      </c>
      <c r="F282" s="17" t="inlineStr">
        <is>
          <t>North</t>
        </is>
      </c>
      <c r="G282" s="17" t="inlineStr">
        <is>
          <t>2025-03-28</t>
        </is>
      </c>
      <c r="H282" s="17" t="n">
        <v>175</v>
      </c>
      <c r="I282" s="17" t="n">
        <v>0</v>
      </c>
      <c r="J282" s="17" t="n"/>
      <c r="K282" s="17" t="inlineStr">
        <is>
          <t>Crashed</t>
        </is>
      </c>
      <c r="L282" s="17" t="inlineStr">
        <is>
          <t>Free</t>
        </is>
      </c>
      <c r="M282" s="17" t="n">
        <v>33</v>
      </c>
      <c r="N282" s="17" t="inlineStr">
        <is>
          <t>Yes</t>
        </is>
      </c>
    </row>
    <row r="283">
      <c r="A283" s="17" t="inlineStr">
        <is>
          <t>S00279</t>
        </is>
      </c>
      <c r="B283" s="17" t="inlineStr">
        <is>
          <t>P8384</t>
        </is>
      </c>
      <c r="C283" s="17" t="inlineStr">
        <is>
          <t>walkernathan</t>
        </is>
      </c>
      <c r="D283" s="17" t="inlineStr">
        <is>
          <t>Empire Wars</t>
        </is>
      </c>
      <c r="E283" s="17" t="inlineStr">
        <is>
          <t>PC</t>
        </is>
      </c>
      <c r="F283" s="17" t="inlineStr">
        <is>
          <t>South</t>
        </is>
      </c>
      <c r="G283" s="17" t="inlineStr">
        <is>
          <t>2025-02-02</t>
        </is>
      </c>
      <c r="H283" s="17" t="n">
        <v>91</v>
      </c>
      <c r="I283" s="17" t="n">
        <v>0</v>
      </c>
      <c r="J283" s="17" t="n"/>
      <c r="K283" s="17" t="inlineStr">
        <is>
          <t>Completed</t>
        </is>
      </c>
      <c r="L283" s="17" t="inlineStr">
        <is>
          <t>Free</t>
        </is>
      </c>
      <c r="M283" s="17" t="n">
        <v>22</v>
      </c>
      <c r="N283" s="17" t="inlineStr">
        <is>
          <t>No</t>
        </is>
      </c>
    </row>
    <row r="284">
      <c r="A284" s="17" t="inlineStr">
        <is>
          <t>S00280</t>
        </is>
      </c>
      <c r="B284" s="17" t="inlineStr">
        <is>
          <t>P9835</t>
        </is>
      </c>
      <c r="C284" s="17" t="inlineStr">
        <is>
          <t>leslie88</t>
        </is>
      </c>
      <c r="D284" s="17" t="inlineStr">
        <is>
          <t>BattleZone</t>
        </is>
      </c>
      <c r="E284" s="17" t="inlineStr">
        <is>
          <t>Console</t>
        </is>
      </c>
      <c r="F284" s="17" t="inlineStr">
        <is>
          <t>North</t>
        </is>
      </c>
      <c r="G284" s="17" t="inlineStr">
        <is>
          <t>2025-02-20</t>
        </is>
      </c>
      <c r="H284" s="17" t="n">
        <v>127</v>
      </c>
      <c r="I284" s="17" t="n">
        <v>40.21</v>
      </c>
      <c r="J284" s="17" t="inlineStr">
        <is>
          <t>Battle Pass</t>
        </is>
      </c>
      <c r="K284" s="17" t="inlineStr">
        <is>
          <t>Completed</t>
        </is>
      </c>
      <c r="L284" s="17" t="inlineStr">
        <is>
          <t>Paid</t>
        </is>
      </c>
      <c r="M284" s="17" t="n">
        <v>38</v>
      </c>
      <c r="N284" s="17" t="inlineStr">
        <is>
          <t>Yes</t>
        </is>
      </c>
    </row>
    <row r="285">
      <c r="A285" s="17" t="inlineStr">
        <is>
          <t>S00281</t>
        </is>
      </c>
      <c r="B285" s="17" t="inlineStr">
        <is>
          <t>P5712</t>
        </is>
      </c>
      <c r="C285" s="17" t="inlineStr">
        <is>
          <t>brandon14</t>
        </is>
      </c>
      <c r="D285" s="17" t="inlineStr">
        <is>
          <t>Zombie Rush</t>
        </is>
      </c>
      <c r="E285" s="17" t="inlineStr">
        <is>
          <t>Console</t>
        </is>
      </c>
      <c r="F285" s="17" t="inlineStr">
        <is>
          <t>North-East</t>
        </is>
      </c>
      <c r="G285" s="17" t="inlineStr">
        <is>
          <t>2025-01-14</t>
        </is>
      </c>
      <c r="H285" s="17" t="n">
        <v>179</v>
      </c>
      <c r="I285" s="17" t="n">
        <v>0</v>
      </c>
      <c r="J285" s="17" t="n"/>
      <c r="K285" s="17" t="inlineStr">
        <is>
          <t>Completed</t>
        </is>
      </c>
      <c r="L285" s="17" t="inlineStr">
        <is>
          <t>Paid</t>
        </is>
      </c>
      <c r="M285" s="17" t="n">
        <v>34</v>
      </c>
      <c r="N285" s="17" t="inlineStr">
        <is>
          <t>Yes</t>
        </is>
      </c>
    </row>
    <row r="286">
      <c r="A286" s="17" t="inlineStr">
        <is>
          <t>S00282</t>
        </is>
      </c>
      <c r="B286" s="17" t="inlineStr">
        <is>
          <t>P7701</t>
        </is>
      </c>
      <c r="C286" s="17" t="inlineStr">
        <is>
          <t>carmenbutler</t>
        </is>
      </c>
      <c r="D286" s="17" t="inlineStr">
        <is>
          <t>SpeedX</t>
        </is>
      </c>
      <c r="E286" s="17" t="inlineStr">
        <is>
          <t>Mobile</t>
        </is>
      </c>
      <c r="F286" s="17" t="inlineStr">
        <is>
          <t>Central</t>
        </is>
      </c>
      <c r="G286" s="17" t="inlineStr">
        <is>
          <t>2025-03-11</t>
        </is>
      </c>
      <c r="H286" s="17" t="n">
        <v>160</v>
      </c>
      <c r="I286" s="17" t="n">
        <v>0</v>
      </c>
      <c r="J286" s="17" t="n"/>
      <c r="K286" s="17" t="inlineStr">
        <is>
          <t>Completed</t>
        </is>
      </c>
      <c r="L286" s="17" t="inlineStr">
        <is>
          <t>Free</t>
        </is>
      </c>
      <c r="M286" s="17" t="n">
        <v>1</v>
      </c>
      <c r="N286" s="17" t="inlineStr">
        <is>
          <t>Yes</t>
        </is>
      </c>
    </row>
    <row r="287">
      <c r="A287" s="17" t="inlineStr">
        <is>
          <t>S00283</t>
        </is>
      </c>
      <c r="B287" s="17" t="inlineStr">
        <is>
          <t>P7004</t>
        </is>
      </c>
      <c r="C287" s="17" t="inlineStr">
        <is>
          <t>monicaharris</t>
        </is>
      </c>
      <c r="D287" s="17" t="inlineStr">
        <is>
          <t>BattleZone</t>
        </is>
      </c>
      <c r="E287" s="17" t="inlineStr">
        <is>
          <t>PC</t>
        </is>
      </c>
      <c r="F287" s="17" t="inlineStr">
        <is>
          <t>West</t>
        </is>
      </c>
      <c r="G287" s="17" t="inlineStr">
        <is>
          <t>2025-04-15</t>
        </is>
      </c>
      <c r="H287" s="17" t="n">
        <v>175</v>
      </c>
      <c r="I287" s="17" t="n">
        <v>0</v>
      </c>
      <c r="J287" s="17" t="n"/>
      <c r="K287" s="17" t="inlineStr">
        <is>
          <t>Completed</t>
        </is>
      </c>
      <c r="L287" s="17" t="inlineStr">
        <is>
          <t>Free</t>
        </is>
      </c>
      <c r="M287" s="17" t="n">
        <v>1</v>
      </c>
      <c r="N287" s="17" t="inlineStr">
        <is>
          <t>Yes</t>
        </is>
      </c>
    </row>
    <row r="288">
      <c r="A288" s="17" t="inlineStr">
        <is>
          <t>S00284</t>
        </is>
      </c>
      <c r="B288" s="17" t="inlineStr">
        <is>
          <t>P4597</t>
        </is>
      </c>
      <c r="C288" s="17" t="inlineStr">
        <is>
          <t>john69</t>
        </is>
      </c>
      <c r="D288" s="17" t="inlineStr">
        <is>
          <t>SpeedX</t>
        </is>
      </c>
      <c r="E288" s="17" t="inlineStr">
        <is>
          <t>PC</t>
        </is>
      </c>
      <c r="F288" s="17" t="inlineStr">
        <is>
          <t>North</t>
        </is>
      </c>
      <c r="G288" s="17" t="inlineStr">
        <is>
          <t>2025-02-20</t>
        </is>
      </c>
      <c r="H288" s="17" t="n">
        <v>112</v>
      </c>
      <c r="I288" s="17" t="n">
        <v>13.89</v>
      </c>
      <c r="J288" s="17" t="inlineStr">
        <is>
          <t>Battle Pass</t>
        </is>
      </c>
      <c r="K288" s="17" t="inlineStr">
        <is>
          <t>Crashed</t>
        </is>
      </c>
      <c r="L288" s="17" t="inlineStr">
        <is>
          <t>Paid</t>
        </is>
      </c>
      <c r="M288" s="17" t="n">
        <v>25</v>
      </c>
      <c r="N288" s="17" t="inlineStr">
        <is>
          <t>No</t>
        </is>
      </c>
    </row>
    <row r="289">
      <c r="A289" s="17" t="inlineStr">
        <is>
          <t>S00285</t>
        </is>
      </c>
      <c r="B289" s="17" t="inlineStr">
        <is>
          <t>P3464</t>
        </is>
      </c>
      <c r="C289" s="17" t="inlineStr">
        <is>
          <t>ryan43</t>
        </is>
      </c>
      <c r="D289" s="17" t="inlineStr">
        <is>
          <t>BattleZone</t>
        </is>
      </c>
      <c r="E289" s="17" t="inlineStr">
        <is>
          <t>Console</t>
        </is>
      </c>
      <c r="F289" s="17" t="inlineStr">
        <is>
          <t>North-East</t>
        </is>
      </c>
      <c r="G289" s="17" t="inlineStr">
        <is>
          <t>2025-06-03</t>
        </is>
      </c>
      <c r="H289" s="17" t="n">
        <v>85</v>
      </c>
      <c r="I289" s="17" t="n">
        <v>0</v>
      </c>
      <c r="J289" s="17" t="n"/>
      <c r="K289" s="17" t="inlineStr">
        <is>
          <t>Exited Early</t>
        </is>
      </c>
      <c r="L289" s="17" t="inlineStr">
        <is>
          <t>Free</t>
        </is>
      </c>
      <c r="M289" s="17" t="n">
        <v>24</v>
      </c>
      <c r="N289" s="17" t="inlineStr">
        <is>
          <t>No</t>
        </is>
      </c>
    </row>
    <row r="290">
      <c r="A290" s="17" t="inlineStr">
        <is>
          <t>S00286</t>
        </is>
      </c>
      <c r="B290" s="17" t="inlineStr">
        <is>
          <t>P1653</t>
        </is>
      </c>
      <c r="C290" s="17" t="inlineStr">
        <is>
          <t>jeffreybaker</t>
        </is>
      </c>
      <c r="D290" s="17" t="inlineStr">
        <is>
          <t>Clash of Realms</t>
        </is>
      </c>
      <c r="E290" s="17" t="inlineStr">
        <is>
          <t>PC</t>
        </is>
      </c>
      <c r="F290" s="17" t="inlineStr">
        <is>
          <t>North-East</t>
        </is>
      </c>
      <c r="G290" s="17" t="inlineStr">
        <is>
          <t>2025-01-07</t>
        </is>
      </c>
      <c r="H290" s="17" t="n">
        <v>16</v>
      </c>
      <c r="I290" s="17" t="n">
        <v>0</v>
      </c>
      <c r="J290" s="17" t="n"/>
      <c r="K290" s="17" t="inlineStr">
        <is>
          <t>Crashed</t>
        </is>
      </c>
      <c r="L290" s="17" t="inlineStr">
        <is>
          <t>Free</t>
        </is>
      </c>
      <c r="M290" s="17" t="n">
        <v>6</v>
      </c>
      <c r="N290" s="17" t="inlineStr">
        <is>
          <t>No</t>
        </is>
      </c>
    </row>
    <row r="291">
      <c r="A291" s="17" t="inlineStr">
        <is>
          <t>S00287</t>
        </is>
      </c>
      <c r="B291" s="17" t="inlineStr">
        <is>
          <t>P8328</t>
        </is>
      </c>
      <c r="C291" s="17" t="inlineStr">
        <is>
          <t>floresnatalie</t>
        </is>
      </c>
      <c r="D291" s="17" t="inlineStr">
        <is>
          <t>Clash of Realms</t>
        </is>
      </c>
      <c r="E291" s="17" t="inlineStr">
        <is>
          <t>PC</t>
        </is>
      </c>
      <c r="F291" s="17" t="inlineStr">
        <is>
          <t>North</t>
        </is>
      </c>
      <c r="G291" s="17" t="inlineStr">
        <is>
          <t>2025-02-16</t>
        </is>
      </c>
      <c r="H291" s="17" t="n">
        <v>80</v>
      </c>
      <c r="I291" s="17" t="n">
        <v>0</v>
      </c>
      <c r="J291" s="17" t="n"/>
      <c r="K291" s="17" t="inlineStr">
        <is>
          <t>Completed</t>
        </is>
      </c>
      <c r="L291" s="17" t="inlineStr">
        <is>
          <t>Free</t>
        </is>
      </c>
      <c r="M291" s="17" t="n">
        <v>16</v>
      </c>
      <c r="N291" s="17" t="inlineStr">
        <is>
          <t>No</t>
        </is>
      </c>
    </row>
    <row r="292">
      <c r="A292" s="17" t="inlineStr">
        <is>
          <t>S00288</t>
        </is>
      </c>
      <c r="B292" s="17" t="inlineStr">
        <is>
          <t>P8167</t>
        </is>
      </c>
      <c r="C292" s="17" t="inlineStr">
        <is>
          <t>tyler13</t>
        </is>
      </c>
      <c r="D292" s="17" t="inlineStr">
        <is>
          <t>BattleZone</t>
        </is>
      </c>
      <c r="E292" s="17" t="inlineStr">
        <is>
          <t>Mobile</t>
        </is>
      </c>
      <c r="F292" s="17" t="inlineStr">
        <is>
          <t>Central</t>
        </is>
      </c>
      <c r="G292" s="17" t="inlineStr">
        <is>
          <t>2025-03-30</t>
        </is>
      </c>
      <c r="H292" s="17" t="n">
        <v>69</v>
      </c>
      <c r="I292" s="17" t="n">
        <v>0</v>
      </c>
      <c r="J292" s="17" t="n"/>
      <c r="K292" s="17" t="inlineStr">
        <is>
          <t>Incomplete</t>
        </is>
      </c>
      <c r="L292" s="17" t="inlineStr">
        <is>
          <t>Paid</t>
        </is>
      </c>
      <c r="M292" s="17" t="n">
        <v>17</v>
      </c>
      <c r="N292" s="17" t="inlineStr">
        <is>
          <t>No</t>
        </is>
      </c>
    </row>
    <row r="293">
      <c r="A293" s="17" t="inlineStr">
        <is>
          <t>S00289</t>
        </is>
      </c>
      <c r="B293" s="17" t="inlineStr">
        <is>
          <t>P6334</t>
        </is>
      </c>
      <c r="C293" s="17" t="inlineStr">
        <is>
          <t>erictrujillo</t>
        </is>
      </c>
      <c r="D293" s="17" t="inlineStr">
        <is>
          <t>SpeedX</t>
        </is>
      </c>
      <c r="E293" s="17" t="inlineStr">
        <is>
          <t>Console</t>
        </is>
      </c>
      <c r="F293" s="17" t="inlineStr">
        <is>
          <t>Central</t>
        </is>
      </c>
      <c r="G293" s="17" t="inlineStr">
        <is>
          <t>2025-03-03</t>
        </is>
      </c>
      <c r="H293" s="17" t="n">
        <v>25</v>
      </c>
      <c r="I293" s="17" t="n">
        <v>0</v>
      </c>
      <c r="J293" s="17" t="n"/>
      <c r="K293" s="17" t="inlineStr">
        <is>
          <t>Completed</t>
        </is>
      </c>
      <c r="L293" s="17" t="inlineStr">
        <is>
          <t>Free</t>
        </is>
      </c>
      <c r="M293" s="17" t="n">
        <v>34</v>
      </c>
      <c r="N293" s="17" t="inlineStr">
        <is>
          <t>No</t>
        </is>
      </c>
    </row>
    <row r="294">
      <c r="A294" s="17" t="inlineStr">
        <is>
          <t>S00290</t>
        </is>
      </c>
      <c r="B294" s="17" t="inlineStr">
        <is>
          <t>P4420</t>
        </is>
      </c>
      <c r="C294" s="17" t="inlineStr">
        <is>
          <t>wanda82</t>
        </is>
      </c>
      <c r="D294" s="17" t="inlineStr">
        <is>
          <t>Clash of Realms</t>
        </is>
      </c>
      <c r="E294" s="17" t="inlineStr">
        <is>
          <t>PC</t>
        </is>
      </c>
      <c r="F294" s="17" t="inlineStr">
        <is>
          <t>West</t>
        </is>
      </c>
      <c r="G294" s="17" t="inlineStr">
        <is>
          <t>2024-12-26</t>
        </is>
      </c>
      <c r="H294" s="17" t="n">
        <v>154</v>
      </c>
      <c r="I294" s="17" t="n">
        <v>0</v>
      </c>
      <c r="J294" s="17" t="n"/>
      <c r="K294" s="17" t="inlineStr">
        <is>
          <t>Completed</t>
        </is>
      </c>
      <c r="L294" s="17" t="inlineStr">
        <is>
          <t>Paid</t>
        </is>
      </c>
      <c r="M294" s="17" t="n">
        <v>14</v>
      </c>
      <c r="N294" s="17" t="inlineStr">
        <is>
          <t>Yes</t>
        </is>
      </c>
    </row>
    <row r="295">
      <c r="A295" s="17" t="inlineStr">
        <is>
          <t>S00291</t>
        </is>
      </c>
      <c r="B295" s="17" t="inlineStr">
        <is>
          <t>P6223</t>
        </is>
      </c>
      <c r="C295" s="17" t="inlineStr">
        <is>
          <t>raymondjenna</t>
        </is>
      </c>
      <c r="D295" s="17" t="inlineStr">
        <is>
          <t>SpeedX</t>
        </is>
      </c>
      <c r="E295" s="17" t="inlineStr">
        <is>
          <t>PC</t>
        </is>
      </c>
      <c r="F295" s="17" t="inlineStr">
        <is>
          <t>North-East</t>
        </is>
      </c>
      <c r="G295" s="17" t="inlineStr">
        <is>
          <t>2025-04-24</t>
        </is>
      </c>
      <c r="H295" s="17" t="n">
        <v>66</v>
      </c>
      <c r="I295" s="17" t="n">
        <v>0</v>
      </c>
      <c r="J295" s="17" t="n"/>
      <c r="K295" s="17" t="inlineStr">
        <is>
          <t>Exited Early</t>
        </is>
      </c>
      <c r="L295" s="17" t="inlineStr">
        <is>
          <t>Free</t>
        </is>
      </c>
      <c r="M295" s="17" t="n">
        <v>4</v>
      </c>
      <c r="N295" s="17" t="inlineStr">
        <is>
          <t>No</t>
        </is>
      </c>
    </row>
    <row r="296">
      <c r="A296" s="17" t="inlineStr">
        <is>
          <t>S00292</t>
        </is>
      </c>
      <c r="B296" s="17" t="inlineStr">
        <is>
          <t>P2113</t>
        </is>
      </c>
      <c r="C296" s="17" t="inlineStr">
        <is>
          <t>cassandrarice</t>
        </is>
      </c>
      <c r="D296" s="17" t="inlineStr">
        <is>
          <t>Zombie Rush</t>
        </is>
      </c>
      <c r="E296" s="17" t="inlineStr">
        <is>
          <t>Console</t>
        </is>
      </c>
      <c r="F296" s="17" t="inlineStr">
        <is>
          <t>North</t>
        </is>
      </c>
      <c r="G296" s="17" t="inlineStr">
        <is>
          <t>2025-05-20</t>
        </is>
      </c>
      <c r="H296" s="17" t="n">
        <v>164</v>
      </c>
      <c r="I296" s="17" t="n">
        <v>14.33</v>
      </c>
      <c r="J296" s="17" t="inlineStr">
        <is>
          <t>Skins</t>
        </is>
      </c>
      <c r="K296" s="17" t="inlineStr">
        <is>
          <t>Completed</t>
        </is>
      </c>
      <c r="L296" s="17" t="inlineStr">
        <is>
          <t>Paid</t>
        </is>
      </c>
      <c r="M296" s="17" t="n">
        <v>4</v>
      </c>
      <c r="N296" s="17" t="inlineStr">
        <is>
          <t>Yes</t>
        </is>
      </c>
    </row>
    <row r="297">
      <c r="A297" s="17" t="inlineStr">
        <is>
          <t>S00293</t>
        </is>
      </c>
      <c r="B297" s="17" t="inlineStr">
        <is>
          <t>P6122</t>
        </is>
      </c>
      <c r="C297" s="17" t="inlineStr">
        <is>
          <t>browndenise</t>
        </is>
      </c>
      <c r="D297" s="17" t="inlineStr">
        <is>
          <t>Empire Wars</t>
        </is>
      </c>
      <c r="E297" s="17" t="inlineStr">
        <is>
          <t>Console</t>
        </is>
      </c>
      <c r="F297" s="17" t="inlineStr">
        <is>
          <t>East</t>
        </is>
      </c>
      <c r="G297" s="17" t="inlineStr">
        <is>
          <t>2025-06-03</t>
        </is>
      </c>
      <c r="H297" s="17" t="n">
        <v>9</v>
      </c>
      <c r="I297" s="17" t="n">
        <v>0</v>
      </c>
      <c r="J297" s="17" t="n"/>
      <c r="K297" s="17" t="inlineStr">
        <is>
          <t>Completed</t>
        </is>
      </c>
      <c r="L297" s="17" t="inlineStr">
        <is>
          <t>Free</t>
        </is>
      </c>
      <c r="M297" s="17" t="n">
        <v>10</v>
      </c>
      <c r="N297" s="17" t="inlineStr">
        <is>
          <t>No</t>
        </is>
      </c>
    </row>
    <row r="298">
      <c r="A298" s="17" t="inlineStr">
        <is>
          <t>S00294</t>
        </is>
      </c>
      <c r="B298" s="17" t="inlineStr">
        <is>
          <t>P2984</t>
        </is>
      </c>
      <c r="C298" s="17" t="inlineStr">
        <is>
          <t>jenniferrollins</t>
        </is>
      </c>
      <c r="D298" s="17" t="inlineStr">
        <is>
          <t>BattleZone</t>
        </is>
      </c>
      <c r="E298" s="17" t="inlineStr">
        <is>
          <t>Mobile</t>
        </is>
      </c>
      <c r="F298" s="17" t="inlineStr">
        <is>
          <t>East</t>
        </is>
      </c>
      <c r="G298" s="17" t="inlineStr">
        <is>
          <t>2025-05-11</t>
        </is>
      </c>
      <c r="H298" s="17" t="n">
        <v>31</v>
      </c>
      <c r="I298" s="17" t="n">
        <v>0</v>
      </c>
      <c r="J298" s="17" t="n"/>
      <c r="K298" s="17" t="inlineStr">
        <is>
          <t>Crashed</t>
        </is>
      </c>
      <c r="L298" s="17" t="inlineStr">
        <is>
          <t>Free</t>
        </is>
      </c>
      <c r="M298" s="17" t="n">
        <v>23</v>
      </c>
      <c r="N298" s="17" t="inlineStr">
        <is>
          <t>No</t>
        </is>
      </c>
    </row>
    <row r="299">
      <c r="A299" s="17" t="inlineStr">
        <is>
          <t>S00295</t>
        </is>
      </c>
      <c r="B299" s="17" t="inlineStr">
        <is>
          <t>P8996</t>
        </is>
      </c>
      <c r="C299" s="17" t="inlineStr">
        <is>
          <t>sbrown</t>
        </is>
      </c>
      <c r="D299" s="17" t="inlineStr">
        <is>
          <t>Empire Wars</t>
        </is>
      </c>
      <c r="E299" s="17" t="inlineStr">
        <is>
          <t>Mobile</t>
        </is>
      </c>
      <c r="F299" s="17" t="inlineStr">
        <is>
          <t>Central</t>
        </is>
      </c>
      <c r="G299" s="17" t="inlineStr">
        <is>
          <t>2025-01-12</t>
        </is>
      </c>
      <c r="H299" s="17" t="n">
        <v>61</v>
      </c>
      <c r="I299" s="17" t="n">
        <v>0</v>
      </c>
      <c r="J299" s="17" t="n"/>
      <c r="K299" s="17" t="inlineStr">
        <is>
          <t>Completed</t>
        </is>
      </c>
      <c r="L299" s="17" t="inlineStr">
        <is>
          <t>Free</t>
        </is>
      </c>
      <c r="M299" s="17" t="n">
        <v>30</v>
      </c>
      <c r="N299" s="17" t="inlineStr">
        <is>
          <t>No</t>
        </is>
      </c>
    </row>
    <row r="300">
      <c r="A300" s="17" t="inlineStr">
        <is>
          <t>S00296</t>
        </is>
      </c>
      <c r="B300" s="17" t="inlineStr">
        <is>
          <t>P1051</t>
        </is>
      </c>
      <c r="C300" s="17" t="inlineStr">
        <is>
          <t>kevin42</t>
        </is>
      </c>
      <c r="D300" s="17" t="inlineStr">
        <is>
          <t>Empire Wars</t>
        </is>
      </c>
      <c r="E300" s="17" t="inlineStr">
        <is>
          <t>PC</t>
        </is>
      </c>
      <c r="F300" s="17" t="inlineStr">
        <is>
          <t>South</t>
        </is>
      </c>
      <c r="G300" s="17" t="inlineStr">
        <is>
          <t>2025-03-03</t>
        </is>
      </c>
      <c r="H300" s="17" t="n">
        <v>178</v>
      </c>
      <c r="I300" s="17" t="n">
        <v>0</v>
      </c>
      <c r="J300" s="17" t="n"/>
      <c r="K300" s="17" t="inlineStr">
        <is>
          <t>Completed</t>
        </is>
      </c>
      <c r="L300" s="17" t="inlineStr">
        <is>
          <t>Free</t>
        </is>
      </c>
      <c r="M300" s="17" t="n">
        <v>30</v>
      </c>
      <c r="N300" s="17" t="inlineStr">
        <is>
          <t>Yes</t>
        </is>
      </c>
    </row>
    <row r="301">
      <c r="A301" s="17" t="inlineStr">
        <is>
          <t>S00297</t>
        </is>
      </c>
      <c r="B301" s="17" t="inlineStr">
        <is>
          <t>P2001</t>
        </is>
      </c>
      <c r="C301" s="17" t="inlineStr">
        <is>
          <t>yrichardson</t>
        </is>
      </c>
      <c r="D301" s="17" t="inlineStr">
        <is>
          <t>BattleZone</t>
        </is>
      </c>
      <c r="E301" s="17" t="inlineStr">
        <is>
          <t>PC</t>
        </is>
      </c>
      <c r="F301" s="17" t="inlineStr">
        <is>
          <t>East</t>
        </is>
      </c>
      <c r="G301" s="17" t="inlineStr">
        <is>
          <t>2025-05-05</t>
        </is>
      </c>
      <c r="H301" s="17" t="n">
        <v>68</v>
      </c>
      <c r="I301" s="17" t="n">
        <v>0</v>
      </c>
      <c r="J301" s="17" t="n"/>
      <c r="K301" s="17" t="inlineStr">
        <is>
          <t>Completed</t>
        </is>
      </c>
      <c r="L301" s="17" t="inlineStr">
        <is>
          <t>Free</t>
        </is>
      </c>
      <c r="M301" s="17" t="n">
        <v>21</v>
      </c>
      <c r="N301" s="17" t="inlineStr">
        <is>
          <t>No</t>
        </is>
      </c>
    </row>
    <row r="302">
      <c r="A302" s="17" t="inlineStr">
        <is>
          <t>S00298</t>
        </is>
      </c>
      <c r="B302" s="17" t="inlineStr">
        <is>
          <t>P1898</t>
        </is>
      </c>
      <c r="C302" s="17" t="inlineStr">
        <is>
          <t>yperez</t>
        </is>
      </c>
      <c r="D302" s="17" t="inlineStr">
        <is>
          <t>SpeedX</t>
        </is>
      </c>
      <c r="E302" s="17" t="inlineStr">
        <is>
          <t>PC</t>
        </is>
      </c>
      <c r="F302" s="17" t="inlineStr">
        <is>
          <t>East</t>
        </is>
      </c>
      <c r="G302" s="17" t="inlineStr">
        <is>
          <t>2024-12-18</t>
        </is>
      </c>
      <c r="H302" s="17" t="n">
        <v>174</v>
      </c>
      <c r="I302" s="17" t="n">
        <v>0</v>
      </c>
      <c r="J302" s="17" t="n"/>
      <c r="K302" s="17" t="inlineStr">
        <is>
          <t>Exited Early</t>
        </is>
      </c>
      <c r="L302" s="17" t="inlineStr">
        <is>
          <t>Free</t>
        </is>
      </c>
      <c r="M302" s="17" t="n">
        <v>50</v>
      </c>
      <c r="N302" s="17" t="inlineStr">
        <is>
          <t>Yes</t>
        </is>
      </c>
    </row>
    <row r="303">
      <c r="A303" s="17" t="inlineStr">
        <is>
          <t>S00299</t>
        </is>
      </c>
      <c r="B303" s="17" t="inlineStr">
        <is>
          <t>P2792</t>
        </is>
      </c>
      <c r="C303" s="17" t="inlineStr">
        <is>
          <t>rileyjohn</t>
        </is>
      </c>
      <c r="D303" s="17" t="inlineStr">
        <is>
          <t>SpeedX</t>
        </is>
      </c>
      <c r="E303" s="17" t="inlineStr">
        <is>
          <t>Mobile</t>
        </is>
      </c>
      <c r="F303" s="17" t="inlineStr">
        <is>
          <t>South</t>
        </is>
      </c>
      <c r="G303" s="17" t="inlineStr">
        <is>
          <t>2025-02-17</t>
        </is>
      </c>
      <c r="H303" s="17" t="n">
        <v>42</v>
      </c>
      <c r="I303" s="17" t="n">
        <v>0</v>
      </c>
      <c r="J303" s="17" t="n"/>
      <c r="K303" s="17" t="inlineStr">
        <is>
          <t>Completed</t>
        </is>
      </c>
      <c r="L303" s="17" t="inlineStr">
        <is>
          <t>Free</t>
        </is>
      </c>
      <c r="M303" s="17" t="n">
        <v>15</v>
      </c>
      <c r="N303" s="17" t="inlineStr">
        <is>
          <t>No</t>
        </is>
      </c>
    </row>
    <row r="304">
      <c r="A304" s="17" t="inlineStr">
        <is>
          <t>S00300</t>
        </is>
      </c>
      <c r="B304" s="17" t="inlineStr">
        <is>
          <t>P8477</t>
        </is>
      </c>
      <c r="C304" s="17" t="inlineStr">
        <is>
          <t>smallalice</t>
        </is>
      </c>
      <c r="D304" s="17" t="inlineStr">
        <is>
          <t>Zombie Rush</t>
        </is>
      </c>
      <c r="E304" s="17" t="inlineStr">
        <is>
          <t>Console</t>
        </is>
      </c>
      <c r="F304" s="17" t="inlineStr">
        <is>
          <t>East</t>
        </is>
      </c>
      <c r="G304" s="17" t="inlineStr">
        <is>
          <t>2025-01-07</t>
        </is>
      </c>
      <c r="H304" s="17" t="n">
        <v>90</v>
      </c>
      <c r="I304" s="17" t="n">
        <v>0</v>
      </c>
      <c r="J304" s="17" t="n"/>
      <c r="K304" s="17" t="inlineStr">
        <is>
          <t>Exited Early</t>
        </is>
      </c>
      <c r="L304" s="17" t="inlineStr">
        <is>
          <t>Free</t>
        </is>
      </c>
      <c r="M304" s="17" t="n">
        <v>3</v>
      </c>
      <c r="N304" s="17" t="inlineStr">
        <is>
          <t>No</t>
        </is>
      </c>
    </row>
    <row r="305">
      <c r="A305" s="17" t="inlineStr">
        <is>
          <t>S00301</t>
        </is>
      </c>
      <c r="B305" s="17" t="inlineStr">
        <is>
          <t>P1529</t>
        </is>
      </c>
      <c r="C305" s="17" t="inlineStr">
        <is>
          <t>nicole11</t>
        </is>
      </c>
      <c r="D305" s="17" t="inlineStr">
        <is>
          <t>Empire Wars</t>
        </is>
      </c>
      <c r="E305" s="17" t="inlineStr">
        <is>
          <t>Mobile</t>
        </is>
      </c>
      <c r="F305" s="17" t="inlineStr">
        <is>
          <t>Central</t>
        </is>
      </c>
      <c r="G305" s="17" t="inlineStr">
        <is>
          <t>2025-02-20</t>
        </is>
      </c>
      <c r="H305" s="17" t="n">
        <v>70</v>
      </c>
      <c r="I305" s="17" t="n">
        <v>19.62</v>
      </c>
      <c r="J305" s="17" t="inlineStr">
        <is>
          <t>Skins</t>
        </is>
      </c>
      <c r="K305" s="17" t="inlineStr">
        <is>
          <t>Completed</t>
        </is>
      </c>
      <c r="L305" s="17" t="inlineStr">
        <is>
          <t>Paid</t>
        </is>
      </c>
      <c r="M305" s="17" t="n">
        <v>47</v>
      </c>
      <c r="N305" s="17" t="inlineStr">
        <is>
          <t>No</t>
        </is>
      </c>
    </row>
    <row r="306">
      <c r="A306" s="17" t="inlineStr">
        <is>
          <t>S00302</t>
        </is>
      </c>
      <c r="B306" s="17" t="inlineStr">
        <is>
          <t>P5078</t>
        </is>
      </c>
      <c r="C306" s="17" t="inlineStr">
        <is>
          <t>elizabeth99</t>
        </is>
      </c>
      <c r="D306" s="17" t="inlineStr">
        <is>
          <t>Clash of Realms</t>
        </is>
      </c>
      <c r="E306" s="17" t="inlineStr">
        <is>
          <t>Mobile</t>
        </is>
      </c>
      <c r="F306" s="17" t="inlineStr">
        <is>
          <t>North</t>
        </is>
      </c>
      <c r="G306" s="17" t="inlineStr">
        <is>
          <t>2025-04-01</t>
        </is>
      </c>
      <c r="H306" s="17" t="n">
        <v>93</v>
      </c>
      <c r="I306" s="17" t="n">
        <v>0</v>
      </c>
      <c r="J306" s="17" t="n"/>
      <c r="K306" s="17" t="inlineStr">
        <is>
          <t>Completed</t>
        </is>
      </c>
      <c r="L306" s="17" t="inlineStr">
        <is>
          <t>Free</t>
        </is>
      </c>
      <c r="M306" s="17" t="n">
        <v>47</v>
      </c>
      <c r="N306" s="17" t="inlineStr">
        <is>
          <t>No</t>
        </is>
      </c>
    </row>
    <row r="307">
      <c r="A307" s="17" t="inlineStr">
        <is>
          <t>S00303</t>
        </is>
      </c>
      <c r="B307" s="17" t="inlineStr">
        <is>
          <t>P8482</t>
        </is>
      </c>
      <c r="C307" s="17" t="inlineStr">
        <is>
          <t>hornjoshua</t>
        </is>
      </c>
      <c r="D307" s="17" t="inlineStr">
        <is>
          <t>BattleZone</t>
        </is>
      </c>
      <c r="E307" s="17" t="inlineStr">
        <is>
          <t>PC</t>
        </is>
      </c>
      <c r="F307" s="17" t="inlineStr">
        <is>
          <t>East</t>
        </is>
      </c>
      <c r="G307" s="17" t="inlineStr">
        <is>
          <t>2025-05-24</t>
        </is>
      </c>
      <c r="H307" s="17" t="n">
        <v>155</v>
      </c>
      <c r="I307" s="17" t="n">
        <v>31.24</v>
      </c>
      <c r="J307" s="17" t="inlineStr">
        <is>
          <t>Battle Pass</t>
        </is>
      </c>
      <c r="K307" s="17" t="inlineStr">
        <is>
          <t>Completed</t>
        </is>
      </c>
      <c r="L307" s="17" t="inlineStr">
        <is>
          <t>Paid</t>
        </is>
      </c>
      <c r="M307" s="17" t="n">
        <v>33</v>
      </c>
      <c r="N307" s="17" t="inlineStr">
        <is>
          <t>Yes</t>
        </is>
      </c>
    </row>
    <row r="308">
      <c r="A308" s="17" t="inlineStr">
        <is>
          <t>S00304</t>
        </is>
      </c>
      <c r="B308" s="17" t="inlineStr">
        <is>
          <t>P1757</t>
        </is>
      </c>
      <c r="C308" s="17" t="inlineStr">
        <is>
          <t>thomas29</t>
        </is>
      </c>
      <c r="D308" s="17" t="inlineStr">
        <is>
          <t>Clash of Realms</t>
        </is>
      </c>
      <c r="E308" s="17" t="inlineStr">
        <is>
          <t>Mobile</t>
        </is>
      </c>
      <c r="F308" s="17" t="inlineStr">
        <is>
          <t>North</t>
        </is>
      </c>
      <c r="G308" s="17" t="inlineStr">
        <is>
          <t>2025-05-08</t>
        </is>
      </c>
      <c r="H308" s="17" t="n">
        <v>122</v>
      </c>
      <c r="I308" s="17" t="n">
        <v>40.31</v>
      </c>
      <c r="J308" s="17" t="inlineStr">
        <is>
          <t>Battle Pass</t>
        </is>
      </c>
      <c r="K308" s="17" t="inlineStr">
        <is>
          <t>Completed</t>
        </is>
      </c>
      <c r="L308" s="17" t="inlineStr">
        <is>
          <t>Paid</t>
        </is>
      </c>
      <c r="M308" s="17" t="n">
        <v>33</v>
      </c>
      <c r="N308" s="17" t="inlineStr">
        <is>
          <t>Yes</t>
        </is>
      </c>
    </row>
    <row r="309">
      <c r="A309" s="17" t="inlineStr">
        <is>
          <t>S00305</t>
        </is>
      </c>
      <c r="B309" s="17" t="inlineStr">
        <is>
          <t>P2330</t>
        </is>
      </c>
      <c r="C309" s="17" t="inlineStr">
        <is>
          <t>davidmendoza</t>
        </is>
      </c>
      <c r="D309" s="17" t="inlineStr">
        <is>
          <t>Empire Wars</t>
        </is>
      </c>
      <c r="E309" s="17" t="inlineStr">
        <is>
          <t>Console</t>
        </is>
      </c>
      <c r="F309" s="17" t="inlineStr">
        <is>
          <t>North</t>
        </is>
      </c>
      <c r="G309" s="17" t="inlineStr">
        <is>
          <t>2025-03-03</t>
        </is>
      </c>
      <c r="H309" s="17" t="n">
        <v>62</v>
      </c>
      <c r="I309" s="17" t="n">
        <v>0</v>
      </c>
      <c r="J309" s="17" t="n"/>
      <c r="K309" s="17" t="inlineStr">
        <is>
          <t>Incomplete</t>
        </is>
      </c>
      <c r="L309" s="17" t="inlineStr">
        <is>
          <t>Free</t>
        </is>
      </c>
      <c r="M309" s="17" t="n">
        <v>19</v>
      </c>
      <c r="N309" s="17" t="inlineStr">
        <is>
          <t>No</t>
        </is>
      </c>
    </row>
    <row r="310">
      <c r="A310" s="17" t="inlineStr">
        <is>
          <t>S00306</t>
        </is>
      </c>
      <c r="B310" s="17" t="inlineStr">
        <is>
          <t>P2906</t>
        </is>
      </c>
      <c r="C310" s="17" t="inlineStr">
        <is>
          <t>jacob24</t>
        </is>
      </c>
      <c r="D310" s="17" t="inlineStr">
        <is>
          <t>Empire Wars</t>
        </is>
      </c>
      <c r="E310" s="17" t="inlineStr">
        <is>
          <t>PC</t>
        </is>
      </c>
      <c r="F310" s="17" t="inlineStr">
        <is>
          <t>East</t>
        </is>
      </c>
      <c r="G310" s="17" t="inlineStr">
        <is>
          <t>2025-05-17</t>
        </is>
      </c>
      <c r="H310" s="17" t="n">
        <v>31</v>
      </c>
      <c r="I310" s="17" t="n">
        <v>0</v>
      </c>
      <c r="J310" s="17" t="n"/>
      <c r="K310" s="17" t="inlineStr">
        <is>
          <t>Completed</t>
        </is>
      </c>
      <c r="L310" s="17" t="inlineStr">
        <is>
          <t>Free</t>
        </is>
      </c>
      <c r="M310" s="17" t="n">
        <v>18</v>
      </c>
      <c r="N310" s="17" t="inlineStr">
        <is>
          <t>No</t>
        </is>
      </c>
    </row>
    <row r="311">
      <c r="A311" s="17" t="inlineStr">
        <is>
          <t>S00307</t>
        </is>
      </c>
      <c r="B311" s="17" t="inlineStr">
        <is>
          <t>P9068</t>
        </is>
      </c>
      <c r="C311" s="17" t="inlineStr">
        <is>
          <t>nthompson</t>
        </is>
      </c>
      <c r="D311" s="17" t="inlineStr">
        <is>
          <t>BattleZone</t>
        </is>
      </c>
      <c r="E311" s="17" t="inlineStr">
        <is>
          <t>Mobile</t>
        </is>
      </c>
      <c r="F311" s="17" t="inlineStr">
        <is>
          <t>North-East</t>
        </is>
      </c>
      <c r="G311" s="17" t="inlineStr">
        <is>
          <t>2025-04-12</t>
        </is>
      </c>
      <c r="H311" s="17" t="n">
        <v>109</v>
      </c>
      <c r="I311" s="17" t="n">
        <v>0</v>
      </c>
      <c r="J311" s="17" t="n"/>
      <c r="K311" s="17" t="inlineStr">
        <is>
          <t>Completed</t>
        </is>
      </c>
      <c r="L311" s="17" t="inlineStr">
        <is>
          <t>Free</t>
        </is>
      </c>
      <c r="M311" s="17" t="n">
        <v>40</v>
      </c>
      <c r="N311" s="17" t="inlineStr">
        <is>
          <t>No</t>
        </is>
      </c>
    </row>
    <row r="312">
      <c r="A312" s="17" t="inlineStr">
        <is>
          <t>S00308</t>
        </is>
      </c>
      <c r="B312" s="17" t="inlineStr">
        <is>
          <t>P6026</t>
        </is>
      </c>
      <c r="C312" s="17" t="inlineStr">
        <is>
          <t>ogarcia</t>
        </is>
      </c>
      <c r="D312" s="17" t="inlineStr">
        <is>
          <t>SpeedX</t>
        </is>
      </c>
      <c r="E312" s="17" t="inlineStr">
        <is>
          <t>Console</t>
        </is>
      </c>
      <c r="F312" s="17" t="inlineStr">
        <is>
          <t>East</t>
        </is>
      </c>
      <c r="G312" s="17" t="inlineStr">
        <is>
          <t>2025-02-20</t>
        </is>
      </c>
      <c r="H312" s="17" t="n">
        <v>178</v>
      </c>
      <c r="I312" s="17" t="n">
        <v>38.37</v>
      </c>
      <c r="J312" s="17" t="inlineStr">
        <is>
          <t>Battle Pass</t>
        </is>
      </c>
      <c r="K312" s="17" t="inlineStr">
        <is>
          <t>Completed</t>
        </is>
      </c>
      <c r="L312" s="17" t="inlineStr">
        <is>
          <t>Paid</t>
        </is>
      </c>
      <c r="M312" s="17" t="n">
        <v>32</v>
      </c>
      <c r="N312" s="17" t="inlineStr">
        <is>
          <t>Yes</t>
        </is>
      </c>
    </row>
    <row r="313">
      <c r="A313" s="17" t="inlineStr">
        <is>
          <t>S00309</t>
        </is>
      </c>
      <c r="B313" s="17" t="inlineStr">
        <is>
          <t>P8611</t>
        </is>
      </c>
      <c r="C313" s="17" t="inlineStr">
        <is>
          <t>cheyennebenton</t>
        </is>
      </c>
      <c r="D313" s="17" t="inlineStr">
        <is>
          <t>BattleZone</t>
        </is>
      </c>
      <c r="E313" s="17" t="inlineStr">
        <is>
          <t>Mobile</t>
        </is>
      </c>
      <c r="F313" s="17" t="inlineStr">
        <is>
          <t>North-East</t>
        </is>
      </c>
      <c r="G313" s="17" t="inlineStr">
        <is>
          <t>2025-01-09</t>
        </is>
      </c>
      <c r="H313" s="17" t="n">
        <v>34</v>
      </c>
      <c r="I313" s="17" t="n">
        <v>0</v>
      </c>
      <c r="J313" s="17" t="n"/>
      <c r="K313" s="17" t="inlineStr">
        <is>
          <t>Completed</t>
        </is>
      </c>
      <c r="L313" s="17" t="inlineStr">
        <is>
          <t>Free</t>
        </is>
      </c>
      <c r="M313" s="17" t="n">
        <v>12</v>
      </c>
      <c r="N313" s="17" t="inlineStr">
        <is>
          <t>No</t>
        </is>
      </c>
    </row>
    <row r="314">
      <c r="A314" s="17" t="inlineStr">
        <is>
          <t>S00310</t>
        </is>
      </c>
      <c r="B314" s="17" t="inlineStr">
        <is>
          <t>P5092</t>
        </is>
      </c>
      <c r="C314" s="17" t="inlineStr">
        <is>
          <t>owenssherry</t>
        </is>
      </c>
      <c r="D314" s="17" t="inlineStr">
        <is>
          <t>Clash of Realms</t>
        </is>
      </c>
      <c r="E314" s="17" t="inlineStr">
        <is>
          <t>Console</t>
        </is>
      </c>
      <c r="F314" s="17" t="inlineStr">
        <is>
          <t>East</t>
        </is>
      </c>
      <c r="G314" s="17" t="inlineStr">
        <is>
          <t>2025-06-04</t>
        </is>
      </c>
      <c r="H314" s="17" t="n">
        <v>139</v>
      </c>
      <c r="I314" s="17" t="n">
        <v>0</v>
      </c>
      <c r="J314" s="17" t="n"/>
      <c r="K314" s="17" t="inlineStr">
        <is>
          <t>Completed</t>
        </is>
      </c>
      <c r="L314" s="17" t="inlineStr">
        <is>
          <t>Free</t>
        </is>
      </c>
      <c r="M314" s="17" t="n">
        <v>1</v>
      </c>
      <c r="N314" s="17" t="inlineStr">
        <is>
          <t>No</t>
        </is>
      </c>
    </row>
    <row r="315">
      <c r="A315" s="17" t="inlineStr">
        <is>
          <t>S00311</t>
        </is>
      </c>
      <c r="B315" s="17" t="inlineStr">
        <is>
          <t>P6038</t>
        </is>
      </c>
      <c r="C315" s="17" t="inlineStr">
        <is>
          <t>tbarker</t>
        </is>
      </c>
      <c r="D315" s="17" t="inlineStr">
        <is>
          <t>BattleZone</t>
        </is>
      </c>
      <c r="E315" s="17" t="inlineStr">
        <is>
          <t>Mobile</t>
        </is>
      </c>
      <c r="F315" s="17" t="inlineStr">
        <is>
          <t>North-East</t>
        </is>
      </c>
      <c r="G315" s="17" t="inlineStr">
        <is>
          <t>2025-01-25</t>
        </is>
      </c>
      <c r="H315" s="17" t="n">
        <v>81</v>
      </c>
      <c r="I315" s="17" t="n">
        <v>0</v>
      </c>
      <c r="J315" s="17" t="n"/>
      <c r="K315" s="17" t="inlineStr">
        <is>
          <t>Incomplete</t>
        </is>
      </c>
      <c r="L315" s="17" t="inlineStr">
        <is>
          <t>Free</t>
        </is>
      </c>
      <c r="M315" s="17" t="n">
        <v>21</v>
      </c>
      <c r="N315" s="17" t="inlineStr">
        <is>
          <t>No</t>
        </is>
      </c>
    </row>
    <row r="316">
      <c r="A316" s="17" t="inlineStr">
        <is>
          <t>S00312</t>
        </is>
      </c>
      <c r="B316" s="17" t="inlineStr">
        <is>
          <t>P5060</t>
        </is>
      </c>
      <c r="C316" s="17" t="inlineStr">
        <is>
          <t>fmason</t>
        </is>
      </c>
      <c r="D316" s="17" t="inlineStr">
        <is>
          <t>BattleZone</t>
        </is>
      </c>
      <c r="E316" s="17" t="inlineStr">
        <is>
          <t>Mobile</t>
        </is>
      </c>
      <c r="F316" s="17" t="inlineStr">
        <is>
          <t>South</t>
        </is>
      </c>
      <c r="G316" s="17" t="inlineStr">
        <is>
          <t>2024-12-21</t>
        </is>
      </c>
      <c r="H316" s="17" t="n">
        <v>13</v>
      </c>
      <c r="I316" s="17" t="n">
        <v>0</v>
      </c>
      <c r="J316" s="17" t="n"/>
      <c r="K316" s="17" t="inlineStr">
        <is>
          <t>Completed</t>
        </is>
      </c>
      <c r="L316" s="17" t="inlineStr">
        <is>
          <t>Free</t>
        </is>
      </c>
      <c r="M316" s="17" t="n">
        <v>12</v>
      </c>
      <c r="N316" s="17" t="inlineStr">
        <is>
          <t>No</t>
        </is>
      </c>
    </row>
    <row r="317">
      <c r="A317" s="17" t="inlineStr">
        <is>
          <t>S00313</t>
        </is>
      </c>
      <c r="B317" s="17" t="inlineStr">
        <is>
          <t>P9354</t>
        </is>
      </c>
      <c r="C317" s="17" t="inlineStr">
        <is>
          <t>jameswanda</t>
        </is>
      </c>
      <c r="D317" s="17" t="inlineStr">
        <is>
          <t>BattleZone</t>
        </is>
      </c>
      <c r="E317" s="17" t="inlineStr">
        <is>
          <t>PC</t>
        </is>
      </c>
      <c r="F317" s="17" t="inlineStr">
        <is>
          <t>West</t>
        </is>
      </c>
      <c r="G317" s="17" t="inlineStr">
        <is>
          <t>2025-01-07</t>
        </is>
      </c>
      <c r="H317" s="17" t="n">
        <v>85</v>
      </c>
      <c r="I317" s="17" t="n">
        <v>0</v>
      </c>
      <c r="J317" s="17" t="n"/>
      <c r="K317" s="17" t="inlineStr">
        <is>
          <t>Completed</t>
        </is>
      </c>
      <c r="L317" s="17" t="inlineStr">
        <is>
          <t>Free</t>
        </is>
      </c>
      <c r="M317" s="17" t="n">
        <v>28</v>
      </c>
      <c r="N317" s="17" t="inlineStr">
        <is>
          <t>No</t>
        </is>
      </c>
    </row>
    <row r="318">
      <c r="A318" s="17" t="inlineStr">
        <is>
          <t>S00314</t>
        </is>
      </c>
      <c r="B318" s="17" t="inlineStr">
        <is>
          <t>P6556</t>
        </is>
      </c>
      <c r="C318" s="17" t="inlineStr">
        <is>
          <t>dennis63</t>
        </is>
      </c>
      <c r="D318" s="17" t="inlineStr">
        <is>
          <t>SpeedX</t>
        </is>
      </c>
      <c r="E318" s="17" t="inlineStr">
        <is>
          <t>Console</t>
        </is>
      </c>
      <c r="F318" s="17" t="inlineStr">
        <is>
          <t>South</t>
        </is>
      </c>
      <c r="G318" s="17" t="inlineStr">
        <is>
          <t>2025-03-11</t>
        </is>
      </c>
      <c r="H318" s="17" t="n">
        <v>158</v>
      </c>
      <c r="I318" s="17" t="n">
        <v>0</v>
      </c>
      <c r="J318" s="17" t="n"/>
      <c r="K318" s="17" t="inlineStr">
        <is>
          <t>Crashed</t>
        </is>
      </c>
      <c r="L318" s="17" t="inlineStr">
        <is>
          <t>Free</t>
        </is>
      </c>
      <c r="M318" s="17" t="n">
        <v>22</v>
      </c>
      <c r="N318" s="17" t="inlineStr">
        <is>
          <t>Yes</t>
        </is>
      </c>
    </row>
    <row r="319">
      <c r="A319" s="17" t="inlineStr">
        <is>
          <t>S00315</t>
        </is>
      </c>
      <c r="B319" s="17" t="inlineStr">
        <is>
          <t>P6685</t>
        </is>
      </c>
      <c r="C319" s="17" t="inlineStr">
        <is>
          <t>coreyperez</t>
        </is>
      </c>
      <c r="D319" s="17" t="inlineStr">
        <is>
          <t>BattleZone</t>
        </is>
      </c>
      <c r="E319" s="17" t="inlineStr">
        <is>
          <t>Console</t>
        </is>
      </c>
      <c r="F319" s="17" t="inlineStr">
        <is>
          <t>North</t>
        </is>
      </c>
      <c r="G319" s="17" t="inlineStr">
        <is>
          <t>2025-04-29</t>
        </is>
      </c>
      <c r="H319" s="17" t="n">
        <v>140</v>
      </c>
      <c r="I319" s="17" t="n">
        <v>0</v>
      </c>
      <c r="J319" s="17" t="n"/>
      <c r="K319" s="17" t="inlineStr">
        <is>
          <t>Completed</t>
        </is>
      </c>
      <c r="L319" s="17" t="inlineStr">
        <is>
          <t>Free</t>
        </is>
      </c>
      <c r="M319" s="17" t="n">
        <v>1</v>
      </c>
      <c r="N319" s="17" t="inlineStr">
        <is>
          <t>No</t>
        </is>
      </c>
    </row>
    <row r="320">
      <c r="A320" s="17" t="inlineStr">
        <is>
          <t>S00316</t>
        </is>
      </c>
      <c r="B320" s="17" t="inlineStr">
        <is>
          <t>P3050</t>
        </is>
      </c>
      <c r="C320" s="17" t="inlineStr">
        <is>
          <t>gonzalezcindy</t>
        </is>
      </c>
      <c r="D320" s="17" t="inlineStr">
        <is>
          <t>Clash of Realms</t>
        </is>
      </c>
      <c r="E320" s="17" t="inlineStr">
        <is>
          <t>PC</t>
        </is>
      </c>
      <c r="F320" s="17" t="inlineStr">
        <is>
          <t>West</t>
        </is>
      </c>
      <c r="G320" s="17" t="inlineStr">
        <is>
          <t>2025-03-31</t>
        </is>
      </c>
      <c r="H320" s="17" t="n">
        <v>179</v>
      </c>
      <c r="I320" s="17" t="n">
        <v>0</v>
      </c>
      <c r="J320" s="17" t="n"/>
      <c r="K320" s="17" t="inlineStr">
        <is>
          <t>Completed</t>
        </is>
      </c>
      <c r="L320" s="17" t="inlineStr">
        <is>
          <t>Free</t>
        </is>
      </c>
      <c r="M320" s="17" t="n">
        <v>5</v>
      </c>
      <c r="N320" s="17" t="inlineStr">
        <is>
          <t>Yes</t>
        </is>
      </c>
    </row>
    <row r="321">
      <c r="A321" s="17" t="inlineStr">
        <is>
          <t>S00317</t>
        </is>
      </c>
      <c r="B321" s="17" t="inlineStr">
        <is>
          <t>P2939</t>
        </is>
      </c>
      <c r="C321" s="17" t="inlineStr">
        <is>
          <t>millersarah</t>
        </is>
      </c>
      <c r="D321" s="17" t="inlineStr">
        <is>
          <t>SpeedX</t>
        </is>
      </c>
      <c r="E321" s="17" t="inlineStr">
        <is>
          <t>PC</t>
        </is>
      </c>
      <c r="F321" s="17" t="inlineStr">
        <is>
          <t>South</t>
        </is>
      </c>
      <c r="G321" s="17" t="inlineStr">
        <is>
          <t>2025-01-09</t>
        </is>
      </c>
      <c r="H321" s="17" t="n">
        <v>73</v>
      </c>
      <c r="I321" s="17" t="n">
        <v>0</v>
      </c>
      <c r="J321" s="17" t="n"/>
      <c r="K321" s="17" t="inlineStr">
        <is>
          <t>Incomplete</t>
        </is>
      </c>
      <c r="L321" s="17" t="inlineStr">
        <is>
          <t>Free</t>
        </is>
      </c>
      <c r="M321" s="17" t="n">
        <v>15</v>
      </c>
      <c r="N321" s="17" t="inlineStr">
        <is>
          <t>No</t>
        </is>
      </c>
    </row>
    <row r="322">
      <c r="A322" s="17" t="inlineStr">
        <is>
          <t>S00318</t>
        </is>
      </c>
      <c r="B322" s="17" t="inlineStr">
        <is>
          <t>P4946</t>
        </is>
      </c>
      <c r="C322" s="17" t="inlineStr">
        <is>
          <t>thompsontodd</t>
        </is>
      </c>
      <c r="D322" s="17" t="inlineStr">
        <is>
          <t>Empire Wars</t>
        </is>
      </c>
      <c r="E322" s="17" t="inlineStr">
        <is>
          <t>PC</t>
        </is>
      </c>
      <c r="F322" s="17" t="inlineStr">
        <is>
          <t>East</t>
        </is>
      </c>
      <c r="G322" s="17" t="inlineStr">
        <is>
          <t>2025-03-31</t>
        </is>
      </c>
      <c r="H322" s="17" t="n">
        <v>83</v>
      </c>
      <c r="I322" s="17" t="n">
        <v>0</v>
      </c>
      <c r="J322" s="17" t="n"/>
      <c r="K322" s="17" t="inlineStr">
        <is>
          <t>Completed</t>
        </is>
      </c>
      <c r="L322" s="17" t="inlineStr">
        <is>
          <t>Free</t>
        </is>
      </c>
      <c r="M322" s="17" t="n">
        <v>1</v>
      </c>
      <c r="N322" s="17" t="inlineStr">
        <is>
          <t>No</t>
        </is>
      </c>
    </row>
    <row r="323">
      <c r="A323" s="17" t="inlineStr">
        <is>
          <t>S00319</t>
        </is>
      </c>
      <c r="B323" s="17" t="inlineStr">
        <is>
          <t>P2067</t>
        </is>
      </c>
      <c r="C323" s="17" t="inlineStr">
        <is>
          <t>waltersnicholas</t>
        </is>
      </c>
      <c r="D323" s="17" t="inlineStr">
        <is>
          <t>Zombie Rush</t>
        </is>
      </c>
      <c r="E323" s="17" t="inlineStr">
        <is>
          <t>PC</t>
        </is>
      </c>
      <c r="F323" s="17" t="inlineStr">
        <is>
          <t>North</t>
        </is>
      </c>
      <c r="G323" s="17" t="inlineStr">
        <is>
          <t>2025-01-21</t>
        </is>
      </c>
      <c r="H323" s="17" t="n">
        <v>152</v>
      </c>
      <c r="I323" s="17" t="n">
        <v>0</v>
      </c>
      <c r="J323" s="17" t="n"/>
      <c r="K323" s="17" t="inlineStr">
        <is>
          <t>Completed</t>
        </is>
      </c>
      <c r="L323" s="17" t="inlineStr">
        <is>
          <t>Free</t>
        </is>
      </c>
      <c r="M323" s="17" t="n">
        <v>31</v>
      </c>
      <c r="N323" s="17" t="inlineStr">
        <is>
          <t>Yes</t>
        </is>
      </c>
    </row>
    <row r="324">
      <c r="A324" s="17" t="inlineStr">
        <is>
          <t>S00320</t>
        </is>
      </c>
      <c r="B324" s="17" t="inlineStr">
        <is>
          <t>P1338</t>
        </is>
      </c>
      <c r="C324" s="17" t="inlineStr">
        <is>
          <t>hharris</t>
        </is>
      </c>
      <c r="D324" s="17" t="inlineStr">
        <is>
          <t>BattleZone</t>
        </is>
      </c>
      <c r="E324" s="17" t="inlineStr">
        <is>
          <t>PC</t>
        </is>
      </c>
      <c r="F324" s="17" t="inlineStr">
        <is>
          <t>Central</t>
        </is>
      </c>
      <c r="G324" s="17" t="inlineStr">
        <is>
          <t>2025-01-31</t>
        </is>
      </c>
      <c r="H324" s="17" t="n">
        <v>156</v>
      </c>
      <c r="I324" s="17" t="n">
        <v>0</v>
      </c>
      <c r="J324" s="17" t="n"/>
      <c r="K324" s="17" t="inlineStr">
        <is>
          <t>Crashed</t>
        </is>
      </c>
      <c r="L324" s="17" t="inlineStr">
        <is>
          <t>Free</t>
        </is>
      </c>
      <c r="M324" s="17" t="n">
        <v>14</v>
      </c>
      <c r="N324" s="17" t="inlineStr">
        <is>
          <t>Yes</t>
        </is>
      </c>
    </row>
    <row r="325">
      <c r="A325" s="17" t="inlineStr">
        <is>
          <t>S00321</t>
        </is>
      </c>
      <c r="B325" s="17" t="inlineStr">
        <is>
          <t>P3964</t>
        </is>
      </c>
      <c r="C325" s="17" t="inlineStr">
        <is>
          <t>kristopheralvarez</t>
        </is>
      </c>
      <c r="D325" s="17" t="inlineStr">
        <is>
          <t>Zombie Rush</t>
        </is>
      </c>
      <c r="E325" s="17" t="inlineStr">
        <is>
          <t>Mobile</t>
        </is>
      </c>
      <c r="F325" s="17" t="inlineStr">
        <is>
          <t>West</t>
        </is>
      </c>
      <c r="G325" s="17" t="inlineStr">
        <is>
          <t>2025-05-11</t>
        </is>
      </c>
      <c r="H325" s="17" t="n">
        <v>33</v>
      </c>
      <c r="I325" s="17" t="n">
        <v>0</v>
      </c>
      <c r="J325" s="17" t="n"/>
      <c r="K325" s="17" t="inlineStr">
        <is>
          <t>Crashed</t>
        </is>
      </c>
      <c r="L325" s="17" t="inlineStr">
        <is>
          <t>Free</t>
        </is>
      </c>
      <c r="M325" s="17" t="n">
        <v>7</v>
      </c>
      <c r="N325" s="17" t="inlineStr">
        <is>
          <t>No</t>
        </is>
      </c>
    </row>
    <row r="326">
      <c r="A326" s="17" t="inlineStr">
        <is>
          <t>S00322</t>
        </is>
      </c>
      <c r="B326" s="17" t="inlineStr">
        <is>
          <t>P6010</t>
        </is>
      </c>
      <c r="C326" s="17" t="inlineStr">
        <is>
          <t>emilyking</t>
        </is>
      </c>
      <c r="D326" s="17" t="inlineStr">
        <is>
          <t>BattleZone</t>
        </is>
      </c>
      <c r="E326" s="17" t="inlineStr">
        <is>
          <t>PC</t>
        </is>
      </c>
      <c r="F326" s="17" t="inlineStr">
        <is>
          <t>South</t>
        </is>
      </c>
      <c r="G326" s="17" t="inlineStr">
        <is>
          <t>2025-01-21</t>
        </is>
      </c>
      <c r="H326" s="17" t="n">
        <v>128</v>
      </c>
      <c r="I326" s="17" t="n">
        <v>0</v>
      </c>
      <c r="J326" s="17" t="n"/>
      <c r="K326" s="17" t="inlineStr">
        <is>
          <t>Completed</t>
        </is>
      </c>
      <c r="L326" s="17" t="inlineStr">
        <is>
          <t>Free</t>
        </is>
      </c>
      <c r="M326" s="17" t="n">
        <v>35</v>
      </c>
      <c r="N326" s="17" t="inlineStr">
        <is>
          <t>No</t>
        </is>
      </c>
    </row>
    <row r="327">
      <c r="A327" s="17" t="inlineStr">
        <is>
          <t>S00323</t>
        </is>
      </c>
      <c r="B327" s="17" t="inlineStr">
        <is>
          <t>P7890</t>
        </is>
      </c>
      <c r="C327" s="17" t="inlineStr">
        <is>
          <t>bobbyanderson</t>
        </is>
      </c>
      <c r="D327" s="17" t="inlineStr">
        <is>
          <t>BattleZone</t>
        </is>
      </c>
      <c r="E327" s="17" t="inlineStr">
        <is>
          <t>Mobile</t>
        </is>
      </c>
      <c r="F327" s="17" t="inlineStr">
        <is>
          <t>South</t>
        </is>
      </c>
      <c r="G327" s="17" t="inlineStr">
        <is>
          <t>2025-02-06</t>
        </is>
      </c>
      <c r="H327" s="17" t="n">
        <v>58</v>
      </c>
      <c r="I327" s="17" t="n">
        <v>0</v>
      </c>
      <c r="J327" s="17" t="n"/>
      <c r="K327" s="17" t="inlineStr">
        <is>
          <t>Incomplete</t>
        </is>
      </c>
      <c r="L327" s="17" t="inlineStr">
        <is>
          <t>Free</t>
        </is>
      </c>
      <c r="M327" s="17" t="n">
        <v>15</v>
      </c>
      <c r="N327" s="17" t="inlineStr">
        <is>
          <t>No</t>
        </is>
      </c>
    </row>
    <row r="328">
      <c r="A328" s="17" t="inlineStr">
        <is>
          <t>S00324</t>
        </is>
      </c>
      <c r="B328" s="17" t="inlineStr">
        <is>
          <t>P5731</t>
        </is>
      </c>
      <c r="C328" s="17" t="inlineStr">
        <is>
          <t>erinhansen</t>
        </is>
      </c>
      <c r="D328" s="17" t="inlineStr">
        <is>
          <t>SpeedX</t>
        </is>
      </c>
      <c r="E328" s="17" t="inlineStr">
        <is>
          <t>Mobile</t>
        </is>
      </c>
      <c r="F328" s="17" t="inlineStr">
        <is>
          <t>South</t>
        </is>
      </c>
      <c r="G328" s="17" t="inlineStr">
        <is>
          <t>2024-12-21</t>
        </is>
      </c>
      <c r="H328" s="17" t="n">
        <v>77</v>
      </c>
      <c r="I328" s="17" t="n">
        <v>0</v>
      </c>
      <c r="J328" s="17" t="n"/>
      <c r="K328" s="17" t="inlineStr">
        <is>
          <t>Completed</t>
        </is>
      </c>
      <c r="L328" s="17" t="inlineStr">
        <is>
          <t>Free</t>
        </is>
      </c>
      <c r="M328" s="17" t="n">
        <v>11</v>
      </c>
      <c r="N328" s="17" t="inlineStr">
        <is>
          <t>No</t>
        </is>
      </c>
    </row>
    <row r="329">
      <c r="A329" s="17" t="inlineStr">
        <is>
          <t>S00325</t>
        </is>
      </c>
      <c r="B329" s="17" t="inlineStr">
        <is>
          <t>P2254</t>
        </is>
      </c>
      <c r="C329" s="17" t="inlineStr">
        <is>
          <t>gerald82</t>
        </is>
      </c>
      <c r="D329" s="17" t="inlineStr">
        <is>
          <t>Clash of Realms</t>
        </is>
      </c>
      <c r="E329" s="17" t="inlineStr">
        <is>
          <t>Console</t>
        </is>
      </c>
      <c r="F329" s="17" t="inlineStr">
        <is>
          <t>South</t>
        </is>
      </c>
      <c r="G329" s="17" t="inlineStr">
        <is>
          <t>2024-12-15</t>
        </is>
      </c>
      <c r="H329" s="17" t="n">
        <v>175</v>
      </c>
      <c r="I329" s="17" t="n">
        <v>0</v>
      </c>
      <c r="J329" s="17" t="n"/>
      <c r="K329" s="17" t="inlineStr">
        <is>
          <t>Crashed</t>
        </is>
      </c>
      <c r="L329" s="17" t="inlineStr">
        <is>
          <t>Paid</t>
        </is>
      </c>
      <c r="M329" s="17" t="n">
        <v>10</v>
      </c>
      <c r="N329" s="17" t="inlineStr">
        <is>
          <t>Yes</t>
        </is>
      </c>
    </row>
    <row r="330">
      <c r="A330" s="17" t="inlineStr">
        <is>
          <t>S00326</t>
        </is>
      </c>
      <c r="B330" s="17" t="inlineStr">
        <is>
          <t>P2231</t>
        </is>
      </c>
      <c r="C330" s="17" t="inlineStr">
        <is>
          <t>jeffreyjimenez</t>
        </is>
      </c>
      <c r="D330" s="17" t="inlineStr">
        <is>
          <t>Clash of Realms</t>
        </is>
      </c>
      <c r="E330" s="17" t="inlineStr">
        <is>
          <t>PC</t>
        </is>
      </c>
      <c r="F330" s="17" t="inlineStr">
        <is>
          <t>North</t>
        </is>
      </c>
      <c r="G330" s="17" t="inlineStr">
        <is>
          <t>2025-03-11</t>
        </is>
      </c>
      <c r="H330" s="17" t="n">
        <v>90</v>
      </c>
      <c r="I330" s="17" t="n">
        <v>0</v>
      </c>
      <c r="J330" s="17" t="n"/>
      <c r="K330" s="17" t="inlineStr">
        <is>
          <t>Completed</t>
        </is>
      </c>
      <c r="L330" s="17" t="inlineStr">
        <is>
          <t>Free</t>
        </is>
      </c>
      <c r="M330" s="17" t="n">
        <v>50</v>
      </c>
      <c r="N330" s="17" t="inlineStr">
        <is>
          <t>No</t>
        </is>
      </c>
    </row>
    <row r="331">
      <c r="A331" s="17" t="inlineStr">
        <is>
          <t>S00327</t>
        </is>
      </c>
      <c r="B331" s="17" t="inlineStr">
        <is>
          <t>P2736</t>
        </is>
      </c>
      <c r="C331" s="17" t="inlineStr">
        <is>
          <t>lcase</t>
        </is>
      </c>
      <c r="D331" s="17" t="inlineStr">
        <is>
          <t>Empire Wars</t>
        </is>
      </c>
      <c r="E331" s="17" t="inlineStr">
        <is>
          <t>Mobile</t>
        </is>
      </c>
      <c r="F331" s="17" t="inlineStr">
        <is>
          <t>Central</t>
        </is>
      </c>
      <c r="G331" s="17" t="inlineStr">
        <is>
          <t>2025-05-16</t>
        </is>
      </c>
      <c r="H331" s="17" t="n">
        <v>142</v>
      </c>
      <c r="I331" s="17" t="n">
        <v>0</v>
      </c>
      <c r="J331" s="17" t="n"/>
      <c r="K331" s="17" t="inlineStr">
        <is>
          <t>Incomplete</t>
        </is>
      </c>
      <c r="L331" s="17" t="inlineStr">
        <is>
          <t>Free</t>
        </is>
      </c>
      <c r="M331" s="17" t="n">
        <v>49</v>
      </c>
      <c r="N331" s="17" t="inlineStr">
        <is>
          <t>No</t>
        </is>
      </c>
    </row>
    <row r="332">
      <c r="A332" s="17" t="inlineStr">
        <is>
          <t>S00328</t>
        </is>
      </c>
      <c r="B332" s="17" t="inlineStr">
        <is>
          <t>P3118</t>
        </is>
      </c>
      <c r="C332" s="17" t="inlineStr">
        <is>
          <t>jonathan53</t>
        </is>
      </c>
      <c r="D332" s="17" t="inlineStr">
        <is>
          <t>Zombie Rush</t>
        </is>
      </c>
      <c r="E332" s="17" t="inlineStr">
        <is>
          <t>PC</t>
        </is>
      </c>
      <c r="F332" s="17" t="inlineStr">
        <is>
          <t>West</t>
        </is>
      </c>
      <c r="G332" s="17" t="inlineStr">
        <is>
          <t>2025-05-24</t>
        </is>
      </c>
      <c r="H332" s="17" t="n">
        <v>102</v>
      </c>
      <c r="I332" s="17" t="n">
        <v>0</v>
      </c>
      <c r="J332" s="17" t="n"/>
      <c r="K332" s="17" t="inlineStr">
        <is>
          <t>Completed</t>
        </is>
      </c>
      <c r="L332" s="17" t="inlineStr">
        <is>
          <t>Paid</t>
        </is>
      </c>
      <c r="M332" s="17" t="n">
        <v>44</v>
      </c>
      <c r="N332" s="17" t="inlineStr">
        <is>
          <t>No</t>
        </is>
      </c>
    </row>
    <row r="333">
      <c r="A333" s="17" t="inlineStr">
        <is>
          <t>S00329</t>
        </is>
      </c>
      <c r="B333" s="17" t="inlineStr">
        <is>
          <t>P3169</t>
        </is>
      </c>
      <c r="C333" s="17" t="inlineStr">
        <is>
          <t>ethankaufman</t>
        </is>
      </c>
      <c r="D333" s="17" t="inlineStr">
        <is>
          <t>BattleZone</t>
        </is>
      </c>
      <c r="E333" s="17" t="inlineStr">
        <is>
          <t>Mobile</t>
        </is>
      </c>
      <c r="F333" s="17" t="inlineStr">
        <is>
          <t>North</t>
        </is>
      </c>
      <c r="G333" s="17" t="inlineStr">
        <is>
          <t>2025-03-21</t>
        </is>
      </c>
      <c r="H333" s="17" t="n">
        <v>47</v>
      </c>
      <c r="I333" s="17" t="n">
        <v>0</v>
      </c>
      <c r="J333" s="17" t="n"/>
      <c r="K333" s="17" t="inlineStr">
        <is>
          <t>Completed</t>
        </is>
      </c>
      <c r="L333" s="17" t="inlineStr">
        <is>
          <t>Paid</t>
        </is>
      </c>
      <c r="M333" s="17" t="n">
        <v>49</v>
      </c>
      <c r="N333" s="17" t="inlineStr">
        <is>
          <t>No</t>
        </is>
      </c>
    </row>
    <row r="334">
      <c r="A334" s="17" t="inlineStr">
        <is>
          <t>S00330</t>
        </is>
      </c>
      <c r="B334" s="17" t="inlineStr">
        <is>
          <t>P6447</t>
        </is>
      </c>
      <c r="C334" s="17" t="inlineStr">
        <is>
          <t>jessica34</t>
        </is>
      </c>
      <c r="D334" s="17" t="inlineStr">
        <is>
          <t>BattleZone</t>
        </is>
      </c>
      <c r="E334" s="17" t="inlineStr">
        <is>
          <t>Console</t>
        </is>
      </c>
      <c r="F334" s="17" t="inlineStr">
        <is>
          <t>Central</t>
        </is>
      </c>
      <c r="G334" s="17" t="inlineStr">
        <is>
          <t>2025-05-22</t>
        </is>
      </c>
      <c r="H334" s="17" t="n">
        <v>100</v>
      </c>
      <c r="I334" s="17" t="n">
        <v>0</v>
      </c>
      <c r="J334" s="17" t="n"/>
      <c r="K334" s="17" t="inlineStr">
        <is>
          <t>Completed</t>
        </is>
      </c>
      <c r="L334" s="17" t="inlineStr">
        <is>
          <t>Free</t>
        </is>
      </c>
      <c r="M334" s="17" t="n">
        <v>25</v>
      </c>
      <c r="N334" s="17" t="inlineStr">
        <is>
          <t>No</t>
        </is>
      </c>
    </row>
    <row r="335">
      <c r="A335" s="17" t="inlineStr">
        <is>
          <t>S00331</t>
        </is>
      </c>
      <c r="B335" s="17" t="inlineStr">
        <is>
          <t>P1496</t>
        </is>
      </c>
      <c r="C335" s="17" t="inlineStr">
        <is>
          <t>newtonjose</t>
        </is>
      </c>
      <c r="D335" s="17" t="inlineStr">
        <is>
          <t>BattleZone</t>
        </is>
      </c>
      <c r="E335" s="17" t="inlineStr">
        <is>
          <t>PC</t>
        </is>
      </c>
      <c r="F335" s="17" t="inlineStr">
        <is>
          <t>South</t>
        </is>
      </c>
      <c r="G335" s="17" t="inlineStr">
        <is>
          <t>2025-02-14</t>
        </is>
      </c>
      <c r="H335" s="17" t="n">
        <v>30</v>
      </c>
      <c r="I335" s="17" t="n">
        <v>36.8</v>
      </c>
      <c r="J335" s="17" t="inlineStr">
        <is>
          <t>Skins</t>
        </is>
      </c>
      <c r="K335" s="17" t="inlineStr">
        <is>
          <t>Exited Early</t>
        </is>
      </c>
      <c r="L335" s="17" t="inlineStr">
        <is>
          <t>Paid</t>
        </is>
      </c>
      <c r="M335" s="17" t="n">
        <v>24</v>
      </c>
      <c r="N335" s="17" t="inlineStr">
        <is>
          <t>No</t>
        </is>
      </c>
    </row>
    <row r="336">
      <c r="A336" s="17" t="inlineStr">
        <is>
          <t>S00332</t>
        </is>
      </c>
      <c r="B336" s="17" t="inlineStr">
        <is>
          <t>P4764</t>
        </is>
      </c>
      <c r="C336" s="17" t="inlineStr">
        <is>
          <t>johnsonjulie</t>
        </is>
      </c>
      <c r="D336" s="17" t="inlineStr">
        <is>
          <t>SpeedX</t>
        </is>
      </c>
      <c r="E336" s="17" t="inlineStr">
        <is>
          <t>Console</t>
        </is>
      </c>
      <c r="F336" s="17" t="inlineStr">
        <is>
          <t>East</t>
        </is>
      </c>
      <c r="G336" s="17" t="inlineStr">
        <is>
          <t>2025-03-18</t>
        </is>
      </c>
      <c r="H336" s="17" t="n">
        <v>180</v>
      </c>
      <c r="I336" s="17" t="n">
        <v>0</v>
      </c>
      <c r="J336" s="17" t="n"/>
      <c r="K336" s="17" t="inlineStr">
        <is>
          <t>Completed</t>
        </is>
      </c>
      <c r="L336" s="17" t="inlineStr">
        <is>
          <t>Free</t>
        </is>
      </c>
      <c r="M336" s="17" t="n">
        <v>18</v>
      </c>
      <c r="N336" s="17" t="inlineStr">
        <is>
          <t>Yes</t>
        </is>
      </c>
    </row>
    <row r="337">
      <c r="A337" s="17" t="inlineStr">
        <is>
          <t>S00333</t>
        </is>
      </c>
      <c r="B337" s="17" t="inlineStr">
        <is>
          <t>P8963</t>
        </is>
      </c>
      <c r="C337" s="17" t="inlineStr">
        <is>
          <t>justin27</t>
        </is>
      </c>
      <c r="D337" s="17" t="inlineStr">
        <is>
          <t>Empire Wars</t>
        </is>
      </c>
      <c r="E337" s="17" t="inlineStr">
        <is>
          <t>Console</t>
        </is>
      </c>
      <c r="F337" s="17" t="inlineStr">
        <is>
          <t>North</t>
        </is>
      </c>
      <c r="G337" s="17" t="inlineStr">
        <is>
          <t>2024-12-31</t>
        </is>
      </c>
      <c r="H337" s="17" t="n">
        <v>18</v>
      </c>
      <c r="I337" s="17" t="n">
        <v>36.07</v>
      </c>
      <c r="J337" s="17" t="inlineStr">
        <is>
          <t>Battle Pass</t>
        </is>
      </c>
      <c r="K337" s="17" t="inlineStr">
        <is>
          <t>Completed</t>
        </is>
      </c>
      <c r="L337" s="17" t="inlineStr">
        <is>
          <t>Paid</t>
        </is>
      </c>
      <c r="M337" s="17" t="n">
        <v>4</v>
      </c>
      <c r="N337" s="17" t="inlineStr">
        <is>
          <t>No</t>
        </is>
      </c>
    </row>
    <row r="338">
      <c r="A338" s="17" t="inlineStr">
        <is>
          <t>S00334</t>
        </is>
      </c>
      <c r="B338" s="17" t="inlineStr">
        <is>
          <t>P1470</t>
        </is>
      </c>
      <c r="C338" s="17" t="inlineStr">
        <is>
          <t>jonesjames</t>
        </is>
      </c>
      <c r="D338" s="17" t="inlineStr">
        <is>
          <t>BattleZone</t>
        </is>
      </c>
      <c r="E338" s="17" t="inlineStr">
        <is>
          <t>Console</t>
        </is>
      </c>
      <c r="F338" s="17" t="inlineStr">
        <is>
          <t>Central</t>
        </is>
      </c>
      <c r="G338" s="17" t="inlineStr">
        <is>
          <t>2025-01-19</t>
        </is>
      </c>
      <c r="H338" s="17" t="n">
        <v>5</v>
      </c>
      <c r="I338" s="17" t="n">
        <v>14.86</v>
      </c>
      <c r="J338" s="17" t="inlineStr">
        <is>
          <t>Battle Pass</t>
        </is>
      </c>
      <c r="K338" s="17" t="inlineStr">
        <is>
          <t>Incomplete</t>
        </is>
      </c>
      <c r="L338" s="17" t="inlineStr">
        <is>
          <t>Paid</t>
        </is>
      </c>
      <c r="M338" s="17" t="n">
        <v>23</v>
      </c>
      <c r="N338" s="17" t="inlineStr">
        <is>
          <t>No</t>
        </is>
      </c>
    </row>
    <row r="339">
      <c r="A339" s="17" t="inlineStr">
        <is>
          <t>S00335</t>
        </is>
      </c>
      <c r="B339" s="17" t="inlineStr">
        <is>
          <t>P5228</t>
        </is>
      </c>
      <c r="C339" s="17" t="inlineStr">
        <is>
          <t>melissa44</t>
        </is>
      </c>
      <c r="D339" s="17" t="inlineStr">
        <is>
          <t>Empire Wars</t>
        </is>
      </c>
      <c r="E339" s="17" t="inlineStr">
        <is>
          <t>PC</t>
        </is>
      </c>
      <c r="F339" s="17" t="inlineStr">
        <is>
          <t>East</t>
        </is>
      </c>
      <c r="G339" s="17" t="inlineStr">
        <is>
          <t>2025-01-08</t>
        </is>
      </c>
      <c r="H339" s="17" t="n">
        <v>159</v>
      </c>
      <c r="I339" s="17" t="n">
        <v>0</v>
      </c>
      <c r="J339" s="17" t="n"/>
      <c r="K339" s="17" t="inlineStr">
        <is>
          <t>Completed</t>
        </is>
      </c>
      <c r="L339" s="17" t="inlineStr">
        <is>
          <t>Free</t>
        </is>
      </c>
      <c r="M339" s="17" t="n">
        <v>20</v>
      </c>
      <c r="N339" s="17" t="inlineStr">
        <is>
          <t>Yes</t>
        </is>
      </c>
    </row>
    <row r="340">
      <c r="A340" s="17" t="inlineStr">
        <is>
          <t>S00336</t>
        </is>
      </c>
      <c r="B340" s="17" t="inlineStr">
        <is>
          <t>P4680</t>
        </is>
      </c>
      <c r="C340" s="17" t="inlineStr">
        <is>
          <t>jack69</t>
        </is>
      </c>
      <c r="D340" s="17" t="inlineStr">
        <is>
          <t>Empire Wars</t>
        </is>
      </c>
      <c r="E340" s="17" t="inlineStr">
        <is>
          <t>PC</t>
        </is>
      </c>
      <c r="F340" s="17" t="inlineStr">
        <is>
          <t>East</t>
        </is>
      </c>
      <c r="G340" s="17" t="inlineStr">
        <is>
          <t>2025-03-16</t>
        </is>
      </c>
      <c r="H340" s="17" t="n">
        <v>161</v>
      </c>
      <c r="I340" s="17" t="n">
        <v>45.73</v>
      </c>
      <c r="J340" s="17" t="inlineStr">
        <is>
          <t>Boosters</t>
        </is>
      </c>
      <c r="K340" s="17" t="inlineStr">
        <is>
          <t>Completed</t>
        </is>
      </c>
      <c r="L340" s="17" t="inlineStr">
        <is>
          <t>Paid</t>
        </is>
      </c>
      <c r="M340" s="17" t="n">
        <v>4</v>
      </c>
      <c r="N340" s="17" t="inlineStr">
        <is>
          <t>Yes</t>
        </is>
      </c>
    </row>
    <row r="341">
      <c r="A341" s="17" t="inlineStr">
        <is>
          <t>S00337</t>
        </is>
      </c>
      <c r="B341" s="17" t="inlineStr">
        <is>
          <t>P2974</t>
        </is>
      </c>
      <c r="C341" s="17" t="inlineStr">
        <is>
          <t>maciasronald</t>
        </is>
      </c>
      <c r="D341" s="17" t="inlineStr">
        <is>
          <t>Zombie Rush</t>
        </is>
      </c>
      <c r="E341" s="17" t="inlineStr">
        <is>
          <t>Console</t>
        </is>
      </c>
      <c r="F341" s="17" t="inlineStr">
        <is>
          <t>East</t>
        </is>
      </c>
      <c r="G341" s="17" t="inlineStr">
        <is>
          <t>2025-03-07</t>
        </is>
      </c>
      <c r="H341" s="17" t="n">
        <v>13</v>
      </c>
      <c r="I341" s="17" t="n">
        <v>0</v>
      </c>
      <c r="J341" s="17" t="n"/>
      <c r="K341" s="17" t="inlineStr">
        <is>
          <t>Exited Early</t>
        </is>
      </c>
      <c r="L341" s="17" t="inlineStr">
        <is>
          <t>Free</t>
        </is>
      </c>
      <c r="M341" s="17" t="n">
        <v>49</v>
      </c>
      <c r="N341" s="17" t="inlineStr">
        <is>
          <t>No</t>
        </is>
      </c>
    </row>
    <row r="342">
      <c r="A342" s="17" t="inlineStr">
        <is>
          <t>S00338</t>
        </is>
      </c>
      <c r="B342" s="17" t="inlineStr">
        <is>
          <t>P9449</t>
        </is>
      </c>
      <c r="C342" s="17" t="inlineStr">
        <is>
          <t>douglasluke</t>
        </is>
      </c>
      <c r="D342" s="17" t="inlineStr">
        <is>
          <t>SpeedX</t>
        </is>
      </c>
      <c r="E342" s="17" t="inlineStr">
        <is>
          <t>PC</t>
        </is>
      </c>
      <c r="F342" s="17" t="inlineStr">
        <is>
          <t>South</t>
        </is>
      </c>
      <c r="G342" s="17" t="inlineStr">
        <is>
          <t>2025-04-12</t>
        </is>
      </c>
      <c r="H342" s="17" t="n">
        <v>110</v>
      </c>
      <c r="I342" s="17" t="n">
        <v>0</v>
      </c>
      <c r="J342" s="17" t="n"/>
      <c r="K342" s="17" t="inlineStr">
        <is>
          <t>Completed</t>
        </is>
      </c>
      <c r="L342" s="17" t="inlineStr">
        <is>
          <t>Free</t>
        </is>
      </c>
      <c r="M342" s="17" t="n">
        <v>40</v>
      </c>
      <c r="N342" s="17" t="inlineStr">
        <is>
          <t>No</t>
        </is>
      </c>
    </row>
    <row r="343">
      <c r="A343" s="17" t="inlineStr">
        <is>
          <t>S00339</t>
        </is>
      </c>
      <c r="B343" s="17" t="inlineStr">
        <is>
          <t>P1806</t>
        </is>
      </c>
      <c r="C343" s="17" t="inlineStr">
        <is>
          <t>michael88</t>
        </is>
      </c>
      <c r="D343" s="17" t="inlineStr">
        <is>
          <t>Empire Wars</t>
        </is>
      </c>
      <c r="E343" s="17" t="inlineStr">
        <is>
          <t>PC</t>
        </is>
      </c>
      <c r="F343" s="17" t="inlineStr">
        <is>
          <t>West</t>
        </is>
      </c>
      <c r="G343" s="17" t="inlineStr">
        <is>
          <t>2025-02-15</t>
        </is>
      </c>
      <c r="H343" s="17" t="n">
        <v>22</v>
      </c>
      <c r="I343" s="17" t="n">
        <v>0</v>
      </c>
      <c r="J343" s="17" t="n"/>
      <c r="K343" s="17" t="inlineStr">
        <is>
          <t>Completed</t>
        </is>
      </c>
      <c r="L343" s="17" t="inlineStr">
        <is>
          <t>Free</t>
        </is>
      </c>
      <c r="M343" s="17" t="n">
        <v>34</v>
      </c>
      <c r="N343" s="17" t="inlineStr">
        <is>
          <t>No</t>
        </is>
      </c>
    </row>
    <row r="344">
      <c r="A344" s="17" t="inlineStr">
        <is>
          <t>S00340</t>
        </is>
      </c>
      <c r="B344" s="17" t="inlineStr">
        <is>
          <t>P6015</t>
        </is>
      </c>
      <c r="C344" s="17" t="inlineStr">
        <is>
          <t>terrychristina</t>
        </is>
      </c>
      <c r="D344" s="17" t="inlineStr">
        <is>
          <t>Zombie Rush</t>
        </is>
      </c>
      <c r="E344" s="17" t="inlineStr">
        <is>
          <t>Console</t>
        </is>
      </c>
      <c r="F344" s="17" t="inlineStr">
        <is>
          <t>South</t>
        </is>
      </c>
      <c r="G344" s="17" t="inlineStr">
        <is>
          <t>2025-05-12</t>
        </is>
      </c>
      <c r="H344" s="17" t="n">
        <v>168</v>
      </c>
      <c r="I344" s="17" t="n">
        <v>33.73</v>
      </c>
      <c r="J344" s="17" t="inlineStr">
        <is>
          <t>Battle Pass</t>
        </is>
      </c>
      <c r="K344" s="17" t="inlineStr">
        <is>
          <t>Completed</t>
        </is>
      </c>
      <c r="L344" s="17" t="inlineStr">
        <is>
          <t>Paid</t>
        </is>
      </c>
      <c r="M344" s="17" t="n">
        <v>48</v>
      </c>
      <c r="N344" s="17" t="inlineStr">
        <is>
          <t>Yes</t>
        </is>
      </c>
    </row>
    <row r="345">
      <c r="A345" s="17" t="inlineStr">
        <is>
          <t>S00341</t>
        </is>
      </c>
      <c r="B345" s="17" t="inlineStr">
        <is>
          <t>P7017</t>
        </is>
      </c>
      <c r="C345" s="17" t="inlineStr">
        <is>
          <t>smartin</t>
        </is>
      </c>
      <c r="D345" s="17" t="inlineStr">
        <is>
          <t>SpeedX</t>
        </is>
      </c>
      <c r="E345" s="17" t="inlineStr">
        <is>
          <t>PC</t>
        </is>
      </c>
      <c r="F345" s="17" t="inlineStr">
        <is>
          <t>Central</t>
        </is>
      </c>
      <c r="G345" s="17" t="inlineStr">
        <is>
          <t>2025-01-11</t>
        </is>
      </c>
      <c r="H345" s="17" t="n">
        <v>24</v>
      </c>
      <c r="I345" s="17" t="n">
        <v>0</v>
      </c>
      <c r="J345" s="17" t="n"/>
      <c r="K345" s="17" t="inlineStr">
        <is>
          <t>Completed</t>
        </is>
      </c>
      <c r="L345" s="17" t="inlineStr">
        <is>
          <t>Free</t>
        </is>
      </c>
      <c r="M345" s="17" t="n">
        <v>41</v>
      </c>
      <c r="N345" s="17" t="inlineStr">
        <is>
          <t>No</t>
        </is>
      </c>
    </row>
    <row r="346">
      <c r="A346" s="17" t="inlineStr">
        <is>
          <t>S00342</t>
        </is>
      </c>
      <c r="B346" s="17" t="inlineStr">
        <is>
          <t>P9340</t>
        </is>
      </c>
      <c r="C346" s="17" t="inlineStr">
        <is>
          <t>davisheather</t>
        </is>
      </c>
      <c r="D346" s="17" t="inlineStr">
        <is>
          <t>Clash of Realms</t>
        </is>
      </c>
      <c r="E346" s="17" t="inlineStr">
        <is>
          <t>Mobile</t>
        </is>
      </c>
      <c r="F346" s="17" t="inlineStr">
        <is>
          <t>East</t>
        </is>
      </c>
      <c r="G346" s="17" t="inlineStr">
        <is>
          <t>2024-12-29</t>
        </is>
      </c>
      <c r="H346" s="17" t="n">
        <v>166</v>
      </c>
      <c r="I346" s="17" t="n">
        <v>0</v>
      </c>
      <c r="J346" s="17" t="n"/>
      <c r="K346" s="17" t="inlineStr">
        <is>
          <t>Incomplete</t>
        </is>
      </c>
      <c r="L346" s="17" t="inlineStr">
        <is>
          <t>Free</t>
        </is>
      </c>
      <c r="M346" s="17" t="n">
        <v>30</v>
      </c>
      <c r="N346" s="17" t="inlineStr">
        <is>
          <t>Yes</t>
        </is>
      </c>
    </row>
    <row r="347">
      <c r="A347" s="17" t="inlineStr">
        <is>
          <t>S00343</t>
        </is>
      </c>
      <c r="B347" s="17" t="inlineStr">
        <is>
          <t>P6916</t>
        </is>
      </c>
      <c r="C347" s="17" t="inlineStr">
        <is>
          <t>amber18</t>
        </is>
      </c>
      <c r="D347" s="17" t="inlineStr">
        <is>
          <t>Empire Wars</t>
        </is>
      </c>
      <c r="E347" s="17" t="inlineStr">
        <is>
          <t>PC</t>
        </is>
      </c>
      <c r="F347" s="17" t="inlineStr">
        <is>
          <t>East</t>
        </is>
      </c>
      <c r="G347" s="17" t="inlineStr">
        <is>
          <t>2025-04-09</t>
        </is>
      </c>
      <c r="H347" s="17" t="n">
        <v>42</v>
      </c>
      <c r="I347" s="17" t="n">
        <v>0</v>
      </c>
      <c r="J347" s="17" t="n"/>
      <c r="K347" s="17" t="inlineStr">
        <is>
          <t>Completed</t>
        </is>
      </c>
      <c r="L347" s="17" t="inlineStr">
        <is>
          <t>Paid</t>
        </is>
      </c>
      <c r="M347" s="17" t="n">
        <v>12</v>
      </c>
      <c r="N347" s="17" t="inlineStr">
        <is>
          <t>No</t>
        </is>
      </c>
    </row>
    <row r="348">
      <c r="A348" s="17" t="inlineStr">
        <is>
          <t>S00344</t>
        </is>
      </c>
      <c r="B348" s="17" t="inlineStr">
        <is>
          <t>P9975</t>
        </is>
      </c>
      <c r="C348" s="17" t="inlineStr">
        <is>
          <t>hollyjenkins</t>
        </is>
      </c>
      <c r="D348" s="17" t="inlineStr">
        <is>
          <t>Empire Wars</t>
        </is>
      </c>
      <c r="E348" s="17" t="inlineStr">
        <is>
          <t>PC</t>
        </is>
      </c>
      <c r="F348" s="17" t="inlineStr">
        <is>
          <t>South</t>
        </is>
      </c>
      <c r="G348" s="17" t="inlineStr">
        <is>
          <t>2025-05-03</t>
        </is>
      </c>
      <c r="H348" s="17" t="n">
        <v>39</v>
      </c>
      <c r="I348" s="17" t="n">
        <v>0</v>
      </c>
      <c r="J348" s="17" t="n"/>
      <c r="K348" s="17" t="inlineStr">
        <is>
          <t>Completed</t>
        </is>
      </c>
      <c r="L348" s="17" t="inlineStr">
        <is>
          <t>Free</t>
        </is>
      </c>
      <c r="M348" s="17" t="n">
        <v>49</v>
      </c>
      <c r="N348" s="17" t="inlineStr">
        <is>
          <t>No</t>
        </is>
      </c>
    </row>
    <row r="349">
      <c r="A349" s="17" t="inlineStr">
        <is>
          <t>S00345</t>
        </is>
      </c>
      <c r="B349" s="17" t="inlineStr">
        <is>
          <t>P6815</t>
        </is>
      </c>
      <c r="C349" s="17" t="inlineStr">
        <is>
          <t>parkerpatricia</t>
        </is>
      </c>
      <c r="D349" s="17" t="inlineStr">
        <is>
          <t>Clash of Realms</t>
        </is>
      </c>
      <c r="E349" s="17" t="inlineStr">
        <is>
          <t>Mobile</t>
        </is>
      </c>
      <c r="F349" s="17" t="inlineStr">
        <is>
          <t>North-East</t>
        </is>
      </c>
      <c r="G349" s="17" t="inlineStr">
        <is>
          <t>2025-04-19</t>
        </is>
      </c>
      <c r="H349" s="17" t="n">
        <v>91</v>
      </c>
      <c r="I349" s="17" t="n">
        <v>13.08</v>
      </c>
      <c r="J349" s="17" t="inlineStr">
        <is>
          <t>Skins</t>
        </is>
      </c>
      <c r="K349" s="17" t="inlineStr">
        <is>
          <t>Completed</t>
        </is>
      </c>
      <c r="L349" s="17" t="inlineStr">
        <is>
          <t>Paid</t>
        </is>
      </c>
      <c r="M349" s="17" t="n">
        <v>17</v>
      </c>
      <c r="N349" s="17" t="inlineStr">
        <is>
          <t>No</t>
        </is>
      </c>
    </row>
    <row r="350">
      <c r="A350" s="17" t="inlineStr">
        <is>
          <t>S00346</t>
        </is>
      </c>
      <c r="B350" s="17" t="inlineStr">
        <is>
          <t>P4525</t>
        </is>
      </c>
      <c r="C350" s="17" t="inlineStr">
        <is>
          <t>kellergregory</t>
        </is>
      </c>
      <c r="D350" s="17" t="inlineStr">
        <is>
          <t>Zombie Rush</t>
        </is>
      </c>
      <c r="E350" s="17" t="inlineStr">
        <is>
          <t>Mobile</t>
        </is>
      </c>
      <c r="F350" s="17" t="inlineStr">
        <is>
          <t>Central</t>
        </is>
      </c>
      <c r="G350" s="17" t="inlineStr">
        <is>
          <t>2025-05-05</t>
        </is>
      </c>
      <c r="H350" s="17" t="n">
        <v>30</v>
      </c>
      <c r="I350" s="17" t="n">
        <v>0</v>
      </c>
      <c r="J350" s="17" t="n"/>
      <c r="K350" s="17" t="inlineStr">
        <is>
          <t>Incomplete</t>
        </is>
      </c>
      <c r="L350" s="17" t="inlineStr">
        <is>
          <t>Free</t>
        </is>
      </c>
      <c r="M350" s="17" t="n">
        <v>42</v>
      </c>
      <c r="N350" s="17" t="inlineStr">
        <is>
          <t>No</t>
        </is>
      </c>
    </row>
    <row r="351">
      <c r="A351" s="17" t="inlineStr">
        <is>
          <t>S00347</t>
        </is>
      </c>
      <c r="B351" s="17" t="inlineStr">
        <is>
          <t>P8336</t>
        </is>
      </c>
      <c r="C351" s="17" t="inlineStr">
        <is>
          <t>michellewilliams</t>
        </is>
      </c>
      <c r="D351" s="17" t="inlineStr">
        <is>
          <t>BattleZone</t>
        </is>
      </c>
      <c r="E351" s="17" t="inlineStr">
        <is>
          <t>Mobile</t>
        </is>
      </c>
      <c r="F351" s="17" t="inlineStr">
        <is>
          <t>North-East</t>
        </is>
      </c>
      <c r="G351" s="17" t="inlineStr">
        <is>
          <t>2024-12-13</t>
        </is>
      </c>
      <c r="H351" s="17" t="n">
        <v>44</v>
      </c>
      <c r="I351" s="17" t="n">
        <v>0</v>
      </c>
      <c r="J351" s="17" t="n"/>
      <c r="K351" s="17" t="inlineStr">
        <is>
          <t>Completed</t>
        </is>
      </c>
      <c r="L351" s="17" t="inlineStr">
        <is>
          <t>Free</t>
        </is>
      </c>
      <c r="M351" s="17" t="n">
        <v>19</v>
      </c>
      <c r="N351" s="17" t="inlineStr">
        <is>
          <t>No</t>
        </is>
      </c>
    </row>
    <row r="352">
      <c r="A352" s="17" t="inlineStr">
        <is>
          <t>S00348</t>
        </is>
      </c>
      <c r="B352" s="17" t="inlineStr">
        <is>
          <t>P6418</t>
        </is>
      </c>
      <c r="C352" s="17" t="inlineStr">
        <is>
          <t>ericmoore</t>
        </is>
      </c>
      <c r="D352" s="17" t="inlineStr">
        <is>
          <t>Zombie Rush</t>
        </is>
      </c>
      <c r="E352" s="17" t="inlineStr">
        <is>
          <t>PC</t>
        </is>
      </c>
      <c r="F352" s="17" t="inlineStr">
        <is>
          <t>West</t>
        </is>
      </c>
      <c r="G352" s="17" t="inlineStr">
        <is>
          <t>2025-03-14</t>
        </is>
      </c>
      <c r="H352" s="17" t="n">
        <v>57</v>
      </c>
      <c r="I352" s="17" t="n">
        <v>0</v>
      </c>
      <c r="J352" s="17" t="n"/>
      <c r="K352" s="17" t="inlineStr">
        <is>
          <t>Completed</t>
        </is>
      </c>
      <c r="L352" s="17" t="inlineStr">
        <is>
          <t>Paid</t>
        </is>
      </c>
      <c r="M352" s="17" t="n">
        <v>29</v>
      </c>
      <c r="N352" s="17" t="inlineStr">
        <is>
          <t>No</t>
        </is>
      </c>
    </row>
    <row r="353">
      <c r="A353" s="17" t="inlineStr">
        <is>
          <t>S00349</t>
        </is>
      </c>
      <c r="B353" s="17" t="inlineStr">
        <is>
          <t>P9419</t>
        </is>
      </c>
      <c r="C353" s="17" t="inlineStr">
        <is>
          <t>angelaramsey</t>
        </is>
      </c>
      <c r="D353" s="17" t="inlineStr">
        <is>
          <t>BattleZone</t>
        </is>
      </c>
      <c r="E353" s="17" t="inlineStr">
        <is>
          <t>Console</t>
        </is>
      </c>
      <c r="F353" s="17" t="inlineStr">
        <is>
          <t>South</t>
        </is>
      </c>
      <c r="G353" s="17" t="inlineStr">
        <is>
          <t>2025-05-30</t>
        </is>
      </c>
      <c r="H353" s="17" t="n">
        <v>165</v>
      </c>
      <c r="I353" s="17" t="n">
        <v>0</v>
      </c>
      <c r="J353" s="17" t="n"/>
      <c r="K353" s="17" t="inlineStr">
        <is>
          <t>Completed</t>
        </is>
      </c>
      <c r="L353" s="17" t="inlineStr">
        <is>
          <t>Free</t>
        </is>
      </c>
      <c r="M353" s="17" t="n">
        <v>15</v>
      </c>
      <c r="N353" s="17" t="inlineStr">
        <is>
          <t>Yes</t>
        </is>
      </c>
    </row>
    <row r="354">
      <c r="A354" s="17" t="inlineStr">
        <is>
          <t>S00350</t>
        </is>
      </c>
      <c r="B354" s="17" t="inlineStr">
        <is>
          <t>P9081</t>
        </is>
      </c>
      <c r="C354" s="17" t="inlineStr">
        <is>
          <t>brooke04</t>
        </is>
      </c>
      <c r="D354" s="17" t="inlineStr">
        <is>
          <t>SpeedX</t>
        </is>
      </c>
      <c r="E354" s="17" t="inlineStr">
        <is>
          <t>Console</t>
        </is>
      </c>
      <c r="F354" s="17" t="inlineStr">
        <is>
          <t>East</t>
        </is>
      </c>
      <c r="G354" s="17" t="inlineStr">
        <is>
          <t>2025-02-24</t>
        </is>
      </c>
      <c r="H354" s="17" t="n">
        <v>22</v>
      </c>
      <c r="I354" s="17" t="n">
        <v>0</v>
      </c>
      <c r="J354" s="17" t="n"/>
      <c r="K354" s="17" t="inlineStr">
        <is>
          <t>Completed</t>
        </is>
      </c>
      <c r="L354" s="17" t="inlineStr">
        <is>
          <t>Free</t>
        </is>
      </c>
      <c r="M354" s="17" t="n">
        <v>22</v>
      </c>
      <c r="N354" s="17" t="inlineStr">
        <is>
          <t>No</t>
        </is>
      </c>
    </row>
    <row r="355">
      <c r="A355" s="17" t="inlineStr">
        <is>
          <t>S00351</t>
        </is>
      </c>
      <c r="B355" s="17" t="inlineStr">
        <is>
          <t>P7887</t>
        </is>
      </c>
      <c r="C355" s="17" t="inlineStr">
        <is>
          <t>nicholas09</t>
        </is>
      </c>
      <c r="D355" s="17" t="inlineStr">
        <is>
          <t>SpeedX</t>
        </is>
      </c>
      <c r="E355" s="17" t="inlineStr">
        <is>
          <t>Console</t>
        </is>
      </c>
      <c r="F355" s="17" t="inlineStr">
        <is>
          <t>West</t>
        </is>
      </c>
      <c r="G355" s="17" t="inlineStr">
        <is>
          <t>2025-02-08</t>
        </is>
      </c>
      <c r="H355" s="17" t="n">
        <v>21</v>
      </c>
      <c r="I355" s="17" t="n">
        <v>0</v>
      </c>
      <c r="J355" s="17" t="n"/>
      <c r="K355" s="17" t="inlineStr">
        <is>
          <t>Completed</t>
        </is>
      </c>
      <c r="L355" s="17" t="inlineStr">
        <is>
          <t>Free</t>
        </is>
      </c>
      <c r="M355" s="17" t="n">
        <v>46</v>
      </c>
      <c r="N355" s="17" t="inlineStr">
        <is>
          <t>No</t>
        </is>
      </c>
    </row>
    <row r="356">
      <c r="A356" s="17" t="inlineStr">
        <is>
          <t>S00352</t>
        </is>
      </c>
      <c r="B356" s="17" t="inlineStr">
        <is>
          <t>P8561</t>
        </is>
      </c>
      <c r="C356" s="17" t="inlineStr">
        <is>
          <t>boonekristen</t>
        </is>
      </c>
      <c r="D356" s="17" t="inlineStr">
        <is>
          <t>Zombie Rush</t>
        </is>
      </c>
      <c r="E356" s="17" t="inlineStr">
        <is>
          <t>Mobile</t>
        </is>
      </c>
      <c r="F356" s="17" t="inlineStr">
        <is>
          <t>North-East</t>
        </is>
      </c>
      <c r="G356" s="17" t="inlineStr">
        <is>
          <t>2025-03-15</t>
        </is>
      </c>
      <c r="H356" s="17" t="n">
        <v>127</v>
      </c>
      <c r="I356" s="17" t="n">
        <v>0</v>
      </c>
      <c r="J356" s="17" t="n"/>
      <c r="K356" s="17" t="inlineStr">
        <is>
          <t>Completed</t>
        </is>
      </c>
      <c r="L356" s="17" t="inlineStr">
        <is>
          <t>Free</t>
        </is>
      </c>
      <c r="M356" s="17" t="n">
        <v>13</v>
      </c>
      <c r="N356" s="17" t="inlineStr">
        <is>
          <t>No</t>
        </is>
      </c>
    </row>
    <row r="357">
      <c r="A357" s="17" t="inlineStr">
        <is>
          <t>S00353</t>
        </is>
      </c>
      <c r="B357" s="17" t="inlineStr">
        <is>
          <t>P2482</t>
        </is>
      </c>
      <c r="C357" s="17" t="inlineStr">
        <is>
          <t>udavis</t>
        </is>
      </c>
      <c r="D357" s="17" t="inlineStr">
        <is>
          <t>Clash of Realms</t>
        </is>
      </c>
      <c r="E357" s="17" t="inlineStr">
        <is>
          <t>Mobile</t>
        </is>
      </c>
      <c r="F357" s="17" t="inlineStr">
        <is>
          <t>West</t>
        </is>
      </c>
      <c r="G357" s="17" t="inlineStr">
        <is>
          <t>2025-02-23</t>
        </is>
      </c>
      <c r="H357" s="17" t="n">
        <v>21</v>
      </c>
      <c r="I357" s="17" t="n">
        <v>0</v>
      </c>
      <c r="J357" s="17" t="n"/>
      <c r="K357" s="17" t="inlineStr">
        <is>
          <t>Completed</t>
        </is>
      </c>
      <c r="L357" s="17" t="inlineStr">
        <is>
          <t>Free</t>
        </is>
      </c>
      <c r="M357" s="17" t="n">
        <v>2</v>
      </c>
      <c r="N357" s="17" t="inlineStr">
        <is>
          <t>No</t>
        </is>
      </c>
    </row>
    <row r="358">
      <c r="A358" s="17" t="inlineStr">
        <is>
          <t>S00354</t>
        </is>
      </c>
      <c r="B358" s="17" t="inlineStr">
        <is>
          <t>P4996</t>
        </is>
      </c>
      <c r="C358" s="17" t="inlineStr">
        <is>
          <t>jmcknight</t>
        </is>
      </c>
      <c r="D358" s="17" t="inlineStr">
        <is>
          <t>Empire Wars</t>
        </is>
      </c>
      <c r="E358" s="17" t="inlineStr">
        <is>
          <t>Console</t>
        </is>
      </c>
      <c r="F358" s="17" t="inlineStr">
        <is>
          <t>South</t>
        </is>
      </c>
      <c r="G358" s="17" t="inlineStr">
        <is>
          <t>2025-03-01</t>
        </is>
      </c>
      <c r="H358" s="17" t="n">
        <v>136</v>
      </c>
      <c r="I358" s="17" t="n">
        <v>0</v>
      </c>
      <c r="J358" s="17" t="n"/>
      <c r="K358" s="17" t="inlineStr">
        <is>
          <t>Completed</t>
        </is>
      </c>
      <c r="L358" s="17" t="inlineStr">
        <is>
          <t>Free</t>
        </is>
      </c>
      <c r="M358" s="17" t="n">
        <v>50</v>
      </c>
      <c r="N358" s="17" t="inlineStr">
        <is>
          <t>No</t>
        </is>
      </c>
    </row>
    <row r="359">
      <c r="A359" s="17" t="inlineStr">
        <is>
          <t>S00355</t>
        </is>
      </c>
      <c r="B359" s="17" t="inlineStr">
        <is>
          <t>P2102</t>
        </is>
      </c>
      <c r="C359" s="17" t="inlineStr">
        <is>
          <t>sarahlawrence</t>
        </is>
      </c>
      <c r="D359" s="17" t="inlineStr">
        <is>
          <t>Zombie Rush</t>
        </is>
      </c>
      <c r="E359" s="17" t="inlineStr">
        <is>
          <t>Console</t>
        </is>
      </c>
      <c r="F359" s="17" t="inlineStr">
        <is>
          <t>South</t>
        </is>
      </c>
      <c r="G359" s="17" t="inlineStr">
        <is>
          <t>2025-04-23</t>
        </is>
      </c>
      <c r="H359" s="17" t="n">
        <v>41</v>
      </c>
      <c r="I359" s="17" t="n">
        <v>0</v>
      </c>
      <c r="J359" s="17" t="n"/>
      <c r="K359" s="17" t="inlineStr">
        <is>
          <t>Completed</t>
        </is>
      </c>
      <c r="L359" s="17" t="inlineStr">
        <is>
          <t>Free</t>
        </is>
      </c>
      <c r="M359" s="17" t="n">
        <v>27</v>
      </c>
      <c r="N359" s="17" t="inlineStr">
        <is>
          <t>No</t>
        </is>
      </c>
    </row>
    <row r="360">
      <c r="A360" s="17" t="inlineStr">
        <is>
          <t>S00356</t>
        </is>
      </c>
      <c r="B360" s="17" t="inlineStr">
        <is>
          <t>P9101</t>
        </is>
      </c>
      <c r="C360" s="17" t="inlineStr">
        <is>
          <t>hardychristopher</t>
        </is>
      </c>
      <c r="D360" s="17" t="inlineStr">
        <is>
          <t>BattleZone</t>
        </is>
      </c>
      <c r="E360" s="17" t="inlineStr">
        <is>
          <t>Mobile</t>
        </is>
      </c>
      <c r="F360" s="17" t="inlineStr">
        <is>
          <t>Central</t>
        </is>
      </c>
      <c r="G360" s="17" t="inlineStr">
        <is>
          <t>2025-05-21</t>
        </is>
      </c>
      <c r="H360" s="17" t="n">
        <v>104</v>
      </c>
      <c r="I360" s="17" t="n">
        <v>0</v>
      </c>
      <c r="J360" s="17" t="n"/>
      <c r="K360" s="17" t="inlineStr">
        <is>
          <t>Completed</t>
        </is>
      </c>
      <c r="L360" s="17" t="inlineStr">
        <is>
          <t>Free</t>
        </is>
      </c>
      <c r="M360" s="17" t="n">
        <v>14</v>
      </c>
      <c r="N360" s="17" t="inlineStr">
        <is>
          <t>No</t>
        </is>
      </c>
    </row>
    <row r="361">
      <c r="A361" s="17" t="inlineStr">
        <is>
          <t>S00357</t>
        </is>
      </c>
      <c r="B361" s="17" t="inlineStr">
        <is>
          <t>P7149</t>
        </is>
      </c>
      <c r="C361" s="17" t="inlineStr">
        <is>
          <t>sara36</t>
        </is>
      </c>
      <c r="D361" s="17" t="inlineStr">
        <is>
          <t>Zombie Rush</t>
        </is>
      </c>
      <c r="E361" s="17" t="inlineStr">
        <is>
          <t>Console</t>
        </is>
      </c>
      <c r="F361" s="17" t="inlineStr">
        <is>
          <t>Central</t>
        </is>
      </c>
      <c r="G361" s="17" t="inlineStr">
        <is>
          <t>2025-02-01</t>
        </is>
      </c>
      <c r="H361" s="17" t="n">
        <v>84</v>
      </c>
      <c r="I361" s="17" t="n">
        <v>23.18</v>
      </c>
      <c r="J361" s="17" t="inlineStr">
        <is>
          <t>Subscriptions</t>
        </is>
      </c>
      <c r="K361" s="17" t="inlineStr">
        <is>
          <t>Completed</t>
        </is>
      </c>
      <c r="L361" s="17" t="inlineStr">
        <is>
          <t>Paid</t>
        </is>
      </c>
      <c r="M361" s="17" t="n">
        <v>2</v>
      </c>
      <c r="N361" s="17" t="inlineStr">
        <is>
          <t>No</t>
        </is>
      </c>
    </row>
    <row r="362">
      <c r="A362" s="17" t="inlineStr">
        <is>
          <t>S00358</t>
        </is>
      </c>
      <c r="B362" s="17" t="inlineStr">
        <is>
          <t>P1901</t>
        </is>
      </c>
      <c r="C362" s="17" t="inlineStr">
        <is>
          <t>leestewart</t>
        </is>
      </c>
      <c r="D362" s="17" t="inlineStr">
        <is>
          <t>Empire Wars</t>
        </is>
      </c>
      <c r="E362" s="17" t="inlineStr">
        <is>
          <t>PC</t>
        </is>
      </c>
      <c r="F362" s="17" t="inlineStr">
        <is>
          <t>South</t>
        </is>
      </c>
      <c r="G362" s="17" t="inlineStr">
        <is>
          <t>2025-05-24</t>
        </is>
      </c>
      <c r="H362" s="17" t="n">
        <v>71</v>
      </c>
      <c r="I362" s="17" t="n">
        <v>0</v>
      </c>
      <c r="J362" s="17" t="n"/>
      <c r="K362" s="17" t="inlineStr">
        <is>
          <t>Completed</t>
        </is>
      </c>
      <c r="L362" s="17" t="inlineStr">
        <is>
          <t>Paid</t>
        </is>
      </c>
      <c r="M362" s="17" t="n">
        <v>5</v>
      </c>
      <c r="N362" s="17" t="inlineStr">
        <is>
          <t>No</t>
        </is>
      </c>
    </row>
    <row r="363">
      <c r="A363" s="17" t="inlineStr">
        <is>
          <t>S00359</t>
        </is>
      </c>
      <c r="B363" s="17" t="inlineStr">
        <is>
          <t>P8092</t>
        </is>
      </c>
      <c r="C363" s="17" t="inlineStr">
        <is>
          <t>lisacoffey</t>
        </is>
      </c>
      <c r="D363" s="17" t="inlineStr">
        <is>
          <t>Zombie Rush</t>
        </is>
      </c>
      <c r="E363" s="17" t="inlineStr">
        <is>
          <t>Console</t>
        </is>
      </c>
      <c r="F363" s="17" t="inlineStr">
        <is>
          <t>Central</t>
        </is>
      </c>
      <c r="G363" s="17" t="inlineStr">
        <is>
          <t>2025-02-02</t>
        </is>
      </c>
      <c r="H363" s="17" t="n">
        <v>63</v>
      </c>
      <c r="I363" s="17" t="n">
        <v>0</v>
      </c>
      <c r="J363" s="17" t="n"/>
      <c r="K363" s="17" t="inlineStr">
        <is>
          <t>Crashed</t>
        </is>
      </c>
      <c r="L363" s="17" t="inlineStr">
        <is>
          <t>Free</t>
        </is>
      </c>
      <c r="M363" s="17" t="n">
        <v>4</v>
      </c>
      <c r="N363" s="17" t="inlineStr">
        <is>
          <t>No</t>
        </is>
      </c>
    </row>
    <row r="364">
      <c r="A364" s="17" t="inlineStr">
        <is>
          <t>S00360</t>
        </is>
      </c>
      <c r="B364" s="17" t="inlineStr">
        <is>
          <t>P9731</t>
        </is>
      </c>
      <c r="C364" s="17" t="inlineStr">
        <is>
          <t>popelance</t>
        </is>
      </c>
      <c r="D364" s="17" t="inlineStr">
        <is>
          <t>SpeedX</t>
        </is>
      </c>
      <c r="E364" s="17" t="inlineStr">
        <is>
          <t>Console</t>
        </is>
      </c>
      <c r="F364" s="17" t="inlineStr">
        <is>
          <t>South</t>
        </is>
      </c>
      <c r="G364" s="17" t="inlineStr">
        <is>
          <t>2025-05-06</t>
        </is>
      </c>
      <c r="H364" s="17" t="n">
        <v>63</v>
      </c>
      <c r="I364" s="17" t="n">
        <v>0</v>
      </c>
      <c r="J364" s="17" t="n"/>
      <c r="K364" s="17" t="inlineStr">
        <is>
          <t>Completed</t>
        </is>
      </c>
      <c r="L364" s="17" t="inlineStr">
        <is>
          <t>Free</t>
        </is>
      </c>
      <c r="M364" s="17" t="n">
        <v>15</v>
      </c>
      <c r="N364" s="17" t="inlineStr">
        <is>
          <t>No</t>
        </is>
      </c>
    </row>
    <row r="365">
      <c r="A365" s="17" t="inlineStr">
        <is>
          <t>S00361</t>
        </is>
      </c>
      <c r="B365" s="17" t="inlineStr">
        <is>
          <t>P8648</t>
        </is>
      </c>
      <c r="C365" s="17" t="inlineStr">
        <is>
          <t>mfarley</t>
        </is>
      </c>
      <c r="D365" s="17" t="inlineStr">
        <is>
          <t>Zombie Rush</t>
        </is>
      </c>
      <c r="E365" s="17" t="inlineStr">
        <is>
          <t>Mobile</t>
        </is>
      </c>
      <c r="F365" s="17" t="inlineStr">
        <is>
          <t>North</t>
        </is>
      </c>
      <c r="G365" s="17" t="inlineStr">
        <is>
          <t>2025-06-09</t>
        </is>
      </c>
      <c r="H365" s="17" t="n">
        <v>18</v>
      </c>
      <c r="I365" s="17" t="n">
        <v>0</v>
      </c>
      <c r="J365" s="17" t="n"/>
      <c r="K365" s="17" t="inlineStr">
        <is>
          <t>Completed</t>
        </is>
      </c>
      <c r="L365" s="17" t="inlineStr">
        <is>
          <t>Free</t>
        </is>
      </c>
      <c r="M365" s="17" t="n">
        <v>16</v>
      </c>
      <c r="N365" s="17" t="inlineStr">
        <is>
          <t>No</t>
        </is>
      </c>
    </row>
    <row r="366">
      <c r="A366" s="17" t="inlineStr">
        <is>
          <t>S00362</t>
        </is>
      </c>
      <c r="B366" s="17" t="inlineStr">
        <is>
          <t>P3956</t>
        </is>
      </c>
      <c r="C366" s="17" t="inlineStr">
        <is>
          <t>ruizkimberly</t>
        </is>
      </c>
      <c r="D366" s="17" t="inlineStr">
        <is>
          <t>SpeedX</t>
        </is>
      </c>
      <c r="E366" s="17" t="inlineStr">
        <is>
          <t>Mobile</t>
        </is>
      </c>
      <c r="F366" s="17" t="inlineStr">
        <is>
          <t>Central</t>
        </is>
      </c>
      <c r="G366" s="17" t="inlineStr">
        <is>
          <t>2025-06-11</t>
        </is>
      </c>
      <c r="H366" s="17" t="n">
        <v>73</v>
      </c>
      <c r="I366" s="17" t="n">
        <v>0</v>
      </c>
      <c r="J366" s="17" t="n"/>
      <c r="K366" s="17" t="inlineStr">
        <is>
          <t>Completed</t>
        </is>
      </c>
      <c r="L366" s="17" t="inlineStr">
        <is>
          <t>Free</t>
        </is>
      </c>
      <c r="M366" s="17" t="n">
        <v>11</v>
      </c>
      <c r="N366" s="17" t="inlineStr">
        <is>
          <t>No</t>
        </is>
      </c>
    </row>
    <row r="367">
      <c r="A367" s="17" t="inlineStr">
        <is>
          <t>S00363</t>
        </is>
      </c>
      <c r="B367" s="17" t="inlineStr">
        <is>
          <t>P8050</t>
        </is>
      </c>
      <c r="C367" s="17" t="inlineStr">
        <is>
          <t>andersonwilliam</t>
        </is>
      </c>
      <c r="D367" s="17" t="inlineStr">
        <is>
          <t>SpeedX</t>
        </is>
      </c>
      <c r="E367" s="17" t="inlineStr">
        <is>
          <t>Console</t>
        </is>
      </c>
      <c r="F367" s="17" t="inlineStr">
        <is>
          <t>West</t>
        </is>
      </c>
      <c r="G367" s="17" t="inlineStr">
        <is>
          <t>2025-01-14</t>
        </is>
      </c>
      <c r="H367" s="17" t="n">
        <v>102</v>
      </c>
      <c r="I367" s="17" t="n">
        <v>0</v>
      </c>
      <c r="J367" s="17" t="n"/>
      <c r="K367" s="17" t="inlineStr">
        <is>
          <t>Completed</t>
        </is>
      </c>
      <c r="L367" s="17" t="inlineStr">
        <is>
          <t>Free</t>
        </is>
      </c>
      <c r="M367" s="17" t="n">
        <v>2</v>
      </c>
      <c r="N367" s="17" t="inlineStr">
        <is>
          <t>No</t>
        </is>
      </c>
    </row>
    <row r="368">
      <c r="A368" s="17" t="inlineStr">
        <is>
          <t>S00364</t>
        </is>
      </c>
      <c r="B368" s="17" t="inlineStr">
        <is>
          <t>P9065</t>
        </is>
      </c>
      <c r="C368" s="17" t="inlineStr">
        <is>
          <t>andrewtran</t>
        </is>
      </c>
      <c r="D368" s="17" t="inlineStr">
        <is>
          <t>Clash of Realms</t>
        </is>
      </c>
      <c r="E368" s="17" t="inlineStr">
        <is>
          <t>Console</t>
        </is>
      </c>
      <c r="F368" s="17" t="inlineStr">
        <is>
          <t>South</t>
        </is>
      </c>
      <c r="G368" s="17" t="inlineStr">
        <is>
          <t>2025-01-12</t>
        </is>
      </c>
      <c r="H368" s="17" t="n">
        <v>91</v>
      </c>
      <c r="I368" s="17" t="n">
        <v>0</v>
      </c>
      <c r="J368" s="17" t="n"/>
      <c r="K368" s="17" t="inlineStr">
        <is>
          <t>Completed</t>
        </is>
      </c>
      <c r="L368" s="17" t="inlineStr">
        <is>
          <t>Free</t>
        </is>
      </c>
      <c r="M368" s="17" t="n">
        <v>31</v>
      </c>
      <c r="N368" s="17" t="inlineStr">
        <is>
          <t>No</t>
        </is>
      </c>
    </row>
    <row r="369">
      <c r="A369" s="17" t="inlineStr">
        <is>
          <t>S00365</t>
        </is>
      </c>
      <c r="B369" s="17" t="inlineStr">
        <is>
          <t>P1888</t>
        </is>
      </c>
      <c r="C369" s="17" t="inlineStr">
        <is>
          <t>lynchtina</t>
        </is>
      </c>
      <c r="D369" s="17" t="inlineStr">
        <is>
          <t>SpeedX</t>
        </is>
      </c>
      <c r="E369" s="17" t="inlineStr">
        <is>
          <t>Mobile</t>
        </is>
      </c>
      <c r="F369" s="17" t="inlineStr">
        <is>
          <t>South</t>
        </is>
      </c>
      <c r="G369" s="17" t="inlineStr">
        <is>
          <t>2025-04-16</t>
        </is>
      </c>
      <c r="H369" s="17" t="n">
        <v>73</v>
      </c>
      <c r="I369" s="17" t="n">
        <v>0</v>
      </c>
      <c r="J369" s="17" t="n"/>
      <c r="K369" s="17" t="inlineStr">
        <is>
          <t>Incomplete</t>
        </is>
      </c>
      <c r="L369" s="17" t="inlineStr">
        <is>
          <t>Free</t>
        </is>
      </c>
      <c r="M369" s="17" t="n">
        <v>32</v>
      </c>
      <c r="N369" s="17" t="inlineStr">
        <is>
          <t>No</t>
        </is>
      </c>
    </row>
    <row r="370">
      <c r="A370" s="17" t="inlineStr">
        <is>
          <t>S00366</t>
        </is>
      </c>
      <c r="B370" s="17" t="inlineStr">
        <is>
          <t>P8007</t>
        </is>
      </c>
      <c r="C370" s="17" t="inlineStr">
        <is>
          <t>kelly45</t>
        </is>
      </c>
      <c r="D370" s="17" t="inlineStr">
        <is>
          <t>Empire Wars</t>
        </is>
      </c>
      <c r="E370" s="17" t="inlineStr">
        <is>
          <t>Mobile</t>
        </is>
      </c>
      <c r="F370" s="17" t="inlineStr">
        <is>
          <t>North-East</t>
        </is>
      </c>
      <c r="G370" s="17" t="inlineStr">
        <is>
          <t>2025-02-22</t>
        </is>
      </c>
      <c r="H370" s="17" t="n">
        <v>80</v>
      </c>
      <c r="I370" s="17" t="n">
        <v>42.33</v>
      </c>
      <c r="J370" s="17" t="inlineStr">
        <is>
          <t>Boosters</t>
        </is>
      </c>
      <c r="K370" s="17" t="inlineStr">
        <is>
          <t>Completed</t>
        </is>
      </c>
      <c r="L370" s="17" t="inlineStr">
        <is>
          <t>Paid</t>
        </is>
      </c>
      <c r="M370" s="17" t="n">
        <v>23</v>
      </c>
      <c r="N370" s="17" t="inlineStr">
        <is>
          <t>Yes</t>
        </is>
      </c>
    </row>
    <row r="371">
      <c r="A371" s="17" t="inlineStr">
        <is>
          <t>S00367</t>
        </is>
      </c>
      <c r="B371" s="17" t="inlineStr">
        <is>
          <t>P7375</t>
        </is>
      </c>
      <c r="C371" s="17" t="inlineStr">
        <is>
          <t>morrisryan</t>
        </is>
      </c>
      <c r="D371" s="17" t="inlineStr">
        <is>
          <t>Clash of Realms</t>
        </is>
      </c>
      <c r="E371" s="17" t="inlineStr">
        <is>
          <t>Mobile</t>
        </is>
      </c>
      <c r="F371" s="17" t="inlineStr">
        <is>
          <t>North-East</t>
        </is>
      </c>
      <c r="G371" s="17" t="inlineStr">
        <is>
          <t>2025-05-23</t>
        </is>
      </c>
      <c r="H371" s="17" t="n">
        <v>6</v>
      </c>
      <c r="I371" s="17" t="n">
        <v>0</v>
      </c>
      <c r="J371" s="17" t="n"/>
      <c r="K371" s="17" t="inlineStr">
        <is>
          <t>Completed</t>
        </is>
      </c>
      <c r="L371" s="17" t="inlineStr">
        <is>
          <t>Free</t>
        </is>
      </c>
      <c r="M371" s="17" t="n">
        <v>12</v>
      </c>
      <c r="N371" s="17" t="inlineStr">
        <is>
          <t>No</t>
        </is>
      </c>
    </row>
    <row r="372">
      <c r="A372" s="17" t="inlineStr">
        <is>
          <t>S00368</t>
        </is>
      </c>
      <c r="B372" s="17" t="inlineStr">
        <is>
          <t>P4682</t>
        </is>
      </c>
      <c r="C372" s="17" t="inlineStr">
        <is>
          <t>aryan</t>
        </is>
      </c>
      <c r="D372" s="17" t="inlineStr">
        <is>
          <t>BattleZone</t>
        </is>
      </c>
      <c r="E372" s="17" t="inlineStr">
        <is>
          <t>Mobile</t>
        </is>
      </c>
      <c r="F372" s="17" t="inlineStr">
        <is>
          <t>South</t>
        </is>
      </c>
      <c r="G372" s="17" t="inlineStr">
        <is>
          <t>2025-04-25</t>
        </is>
      </c>
      <c r="H372" s="17" t="n">
        <v>161</v>
      </c>
      <c r="I372" s="17" t="n">
        <v>0</v>
      </c>
      <c r="J372" s="17" t="n"/>
      <c r="K372" s="17" t="inlineStr">
        <is>
          <t>Completed</t>
        </is>
      </c>
      <c r="L372" s="17" t="inlineStr">
        <is>
          <t>Free</t>
        </is>
      </c>
      <c r="M372" s="17" t="n">
        <v>25</v>
      </c>
      <c r="N372" s="17" t="inlineStr">
        <is>
          <t>Yes</t>
        </is>
      </c>
    </row>
    <row r="373">
      <c r="A373" s="17" t="inlineStr">
        <is>
          <t>S00369</t>
        </is>
      </c>
      <c r="B373" s="17" t="inlineStr">
        <is>
          <t>P6367</t>
        </is>
      </c>
      <c r="C373" s="17" t="inlineStr">
        <is>
          <t>iyoung</t>
        </is>
      </c>
      <c r="D373" s="17" t="inlineStr">
        <is>
          <t>SpeedX</t>
        </is>
      </c>
      <c r="E373" s="17" t="inlineStr">
        <is>
          <t>PC</t>
        </is>
      </c>
      <c r="F373" s="17" t="inlineStr">
        <is>
          <t>Central</t>
        </is>
      </c>
      <c r="G373" s="17" t="inlineStr">
        <is>
          <t>2025-02-26</t>
        </is>
      </c>
      <c r="H373" s="17" t="n">
        <v>67</v>
      </c>
      <c r="I373" s="17" t="n">
        <v>0</v>
      </c>
      <c r="J373" s="17" t="n"/>
      <c r="K373" s="17" t="inlineStr">
        <is>
          <t>Exited Early</t>
        </is>
      </c>
      <c r="L373" s="17" t="inlineStr">
        <is>
          <t>Free</t>
        </is>
      </c>
      <c r="M373" s="17" t="n">
        <v>48</v>
      </c>
      <c r="N373" s="17" t="inlineStr">
        <is>
          <t>No</t>
        </is>
      </c>
    </row>
    <row r="374">
      <c r="A374" s="17" t="inlineStr">
        <is>
          <t>S00370</t>
        </is>
      </c>
      <c r="B374" s="17" t="inlineStr">
        <is>
          <t>P1693</t>
        </is>
      </c>
      <c r="C374" s="17" t="inlineStr">
        <is>
          <t>huntlawrence</t>
        </is>
      </c>
      <c r="D374" s="17" t="inlineStr">
        <is>
          <t>Clash of Realms</t>
        </is>
      </c>
      <c r="E374" s="17" t="inlineStr">
        <is>
          <t>Mobile</t>
        </is>
      </c>
      <c r="F374" s="17" t="inlineStr">
        <is>
          <t>North-East</t>
        </is>
      </c>
      <c r="G374" s="17" t="inlineStr">
        <is>
          <t>2025-03-06</t>
        </is>
      </c>
      <c r="H374" s="17" t="n">
        <v>144</v>
      </c>
      <c r="I374" s="17" t="n">
        <v>0</v>
      </c>
      <c r="J374" s="17" t="n"/>
      <c r="K374" s="17" t="inlineStr">
        <is>
          <t>Exited Early</t>
        </is>
      </c>
      <c r="L374" s="17" t="inlineStr">
        <is>
          <t>Free</t>
        </is>
      </c>
      <c r="M374" s="17" t="n">
        <v>9</v>
      </c>
      <c r="N374" s="17" t="inlineStr">
        <is>
          <t>No</t>
        </is>
      </c>
    </row>
    <row r="375">
      <c r="A375" s="17" t="inlineStr">
        <is>
          <t>S00371</t>
        </is>
      </c>
      <c r="B375" s="17" t="inlineStr">
        <is>
          <t>P6086</t>
        </is>
      </c>
      <c r="C375" s="17" t="inlineStr">
        <is>
          <t>parkzachary</t>
        </is>
      </c>
      <c r="D375" s="17" t="inlineStr">
        <is>
          <t>Zombie Rush</t>
        </is>
      </c>
      <c r="E375" s="17" t="inlineStr">
        <is>
          <t>Mobile</t>
        </is>
      </c>
      <c r="F375" s="17" t="inlineStr">
        <is>
          <t>North</t>
        </is>
      </c>
      <c r="G375" s="17" t="inlineStr">
        <is>
          <t>2025-04-07</t>
        </is>
      </c>
      <c r="H375" s="17" t="n">
        <v>144</v>
      </c>
      <c r="I375" s="17" t="n">
        <v>29.52</v>
      </c>
      <c r="J375" s="17" t="inlineStr">
        <is>
          <t>Skins</t>
        </is>
      </c>
      <c r="K375" s="17" t="inlineStr">
        <is>
          <t>Exited Early</t>
        </is>
      </c>
      <c r="L375" s="17" t="inlineStr">
        <is>
          <t>Paid</t>
        </is>
      </c>
      <c r="M375" s="17" t="n">
        <v>36</v>
      </c>
      <c r="N375" s="17" t="inlineStr">
        <is>
          <t>No</t>
        </is>
      </c>
    </row>
    <row r="376">
      <c r="A376" s="17" t="inlineStr">
        <is>
          <t>S00372</t>
        </is>
      </c>
      <c r="B376" s="17" t="inlineStr">
        <is>
          <t>P1855</t>
        </is>
      </c>
      <c r="C376" s="17" t="inlineStr">
        <is>
          <t>amandarogers</t>
        </is>
      </c>
      <c r="D376" s="17" t="inlineStr">
        <is>
          <t>Zombie Rush</t>
        </is>
      </c>
      <c r="E376" s="17" t="inlineStr">
        <is>
          <t>PC</t>
        </is>
      </c>
      <c r="F376" s="17" t="inlineStr">
        <is>
          <t>North</t>
        </is>
      </c>
      <c r="G376" s="17" t="inlineStr">
        <is>
          <t>2024-12-29</t>
        </is>
      </c>
      <c r="H376" s="17" t="n">
        <v>83</v>
      </c>
      <c r="I376" s="17" t="n">
        <v>0</v>
      </c>
      <c r="J376" s="17" t="n"/>
      <c r="K376" s="17" t="inlineStr">
        <is>
          <t>Completed</t>
        </is>
      </c>
      <c r="L376" s="17" t="inlineStr">
        <is>
          <t>Free</t>
        </is>
      </c>
      <c r="M376" s="17" t="n">
        <v>49</v>
      </c>
      <c r="N376" s="17" t="inlineStr">
        <is>
          <t>No</t>
        </is>
      </c>
    </row>
    <row r="377">
      <c r="A377" s="17" t="inlineStr">
        <is>
          <t>S00373</t>
        </is>
      </c>
      <c r="B377" s="17" t="inlineStr">
        <is>
          <t>P9993</t>
        </is>
      </c>
      <c r="C377" s="17" t="inlineStr">
        <is>
          <t>bharris</t>
        </is>
      </c>
      <c r="D377" s="17" t="inlineStr">
        <is>
          <t>SpeedX</t>
        </is>
      </c>
      <c r="E377" s="17" t="inlineStr">
        <is>
          <t>PC</t>
        </is>
      </c>
      <c r="F377" s="17" t="inlineStr">
        <is>
          <t>East</t>
        </is>
      </c>
      <c r="G377" s="17" t="inlineStr">
        <is>
          <t>2025-06-03</t>
        </is>
      </c>
      <c r="H377" s="17" t="n">
        <v>128</v>
      </c>
      <c r="I377" s="17" t="n">
        <v>0</v>
      </c>
      <c r="J377" s="17" t="n"/>
      <c r="K377" s="17" t="inlineStr">
        <is>
          <t>Completed</t>
        </is>
      </c>
      <c r="L377" s="17" t="inlineStr">
        <is>
          <t>Paid</t>
        </is>
      </c>
      <c r="M377" s="17" t="n">
        <v>29</v>
      </c>
      <c r="N377" s="17" t="inlineStr">
        <is>
          <t>No</t>
        </is>
      </c>
    </row>
    <row r="378">
      <c r="A378" s="17" t="inlineStr">
        <is>
          <t>S00374</t>
        </is>
      </c>
      <c r="B378" s="17" t="inlineStr">
        <is>
          <t>P1603</t>
        </is>
      </c>
      <c r="C378" s="17" t="inlineStr">
        <is>
          <t>rojasjennifer</t>
        </is>
      </c>
      <c r="D378" s="17" t="inlineStr">
        <is>
          <t>Zombie Rush</t>
        </is>
      </c>
      <c r="E378" s="17" t="inlineStr">
        <is>
          <t>PC</t>
        </is>
      </c>
      <c r="F378" s="17" t="inlineStr">
        <is>
          <t>West</t>
        </is>
      </c>
      <c r="G378" s="17" t="inlineStr">
        <is>
          <t>2025-04-28</t>
        </is>
      </c>
      <c r="H378" s="17" t="n">
        <v>59</v>
      </c>
      <c r="I378" s="17" t="n">
        <v>0</v>
      </c>
      <c r="J378" s="17" t="n"/>
      <c r="K378" s="17" t="inlineStr">
        <is>
          <t>Completed</t>
        </is>
      </c>
      <c r="L378" s="17" t="inlineStr">
        <is>
          <t>Free</t>
        </is>
      </c>
      <c r="M378" s="17" t="n">
        <v>36</v>
      </c>
      <c r="N378" s="17" t="inlineStr">
        <is>
          <t>No</t>
        </is>
      </c>
    </row>
    <row r="379">
      <c r="A379" s="17" t="inlineStr">
        <is>
          <t>S00375</t>
        </is>
      </c>
      <c r="B379" s="17" t="inlineStr">
        <is>
          <t>P5838</t>
        </is>
      </c>
      <c r="C379" s="17" t="inlineStr">
        <is>
          <t>christopher10</t>
        </is>
      </c>
      <c r="D379" s="17" t="inlineStr">
        <is>
          <t>Zombie Rush</t>
        </is>
      </c>
      <c r="E379" s="17" t="inlineStr">
        <is>
          <t>Console</t>
        </is>
      </c>
      <c r="F379" s="17" t="inlineStr">
        <is>
          <t>East</t>
        </is>
      </c>
      <c r="G379" s="17" t="inlineStr">
        <is>
          <t>2025-05-09</t>
        </is>
      </c>
      <c r="H379" s="17" t="n">
        <v>79</v>
      </c>
      <c r="I379" s="17" t="n">
        <v>20.5</v>
      </c>
      <c r="J379" s="17" t="inlineStr">
        <is>
          <t>Boosters</t>
        </is>
      </c>
      <c r="K379" s="17" t="inlineStr">
        <is>
          <t>Completed</t>
        </is>
      </c>
      <c r="L379" s="17" t="inlineStr">
        <is>
          <t>Paid</t>
        </is>
      </c>
      <c r="M379" s="17" t="n">
        <v>5</v>
      </c>
      <c r="N379" s="17" t="inlineStr">
        <is>
          <t>No</t>
        </is>
      </c>
    </row>
    <row r="380">
      <c r="A380" s="17" t="inlineStr">
        <is>
          <t>S00376</t>
        </is>
      </c>
      <c r="B380" s="17" t="inlineStr">
        <is>
          <t>P4545</t>
        </is>
      </c>
      <c r="C380" s="17" t="inlineStr">
        <is>
          <t>monique85</t>
        </is>
      </c>
      <c r="D380" s="17" t="inlineStr">
        <is>
          <t>BattleZone</t>
        </is>
      </c>
      <c r="E380" s="17" t="inlineStr">
        <is>
          <t>PC</t>
        </is>
      </c>
      <c r="F380" s="17" t="inlineStr">
        <is>
          <t>South</t>
        </is>
      </c>
      <c r="G380" s="17" t="inlineStr">
        <is>
          <t>2024-12-25</t>
        </is>
      </c>
      <c r="H380" s="17" t="n">
        <v>167</v>
      </c>
      <c r="I380" s="17" t="n">
        <v>0</v>
      </c>
      <c r="J380" s="17" t="n"/>
      <c r="K380" s="17" t="inlineStr">
        <is>
          <t>Completed</t>
        </is>
      </c>
      <c r="L380" s="17" t="inlineStr">
        <is>
          <t>Paid</t>
        </is>
      </c>
      <c r="M380" s="17" t="n">
        <v>37</v>
      </c>
      <c r="N380" s="17" t="inlineStr">
        <is>
          <t>Yes</t>
        </is>
      </c>
    </row>
    <row r="381">
      <c r="A381" s="17" t="inlineStr">
        <is>
          <t>S00377</t>
        </is>
      </c>
      <c r="B381" s="17" t="inlineStr">
        <is>
          <t>P7247</t>
        </is>
      </c>
      <c r="C381" s="17" t="inlineStr">
        <is>
          <t>hhuff</t>
        </is>
      </c>
      <c r="D381" s="17" t="inlineStr">
        <is>
          <t>BattleZone</t>
        </is>
      </c>
      <c r="E381" s="17" t="inlineStr">
        <is>
          <t>Console</t>
        </is>
      </c>
      <c r="F381" s="17" t="inlineStr">
        <is>
          <t>South</t>
        </is>
      </c>
      <c r="G381" s="17" t="inlineStr">
        <is>
          <t>2025-04-18</t>
        </is>
      </c>
      <c r="H381" s="17" t="n">
        <v>165</v>
      </c>
      <c r="I381" s="17" t="n">
        <v>21.99</v>
      </c>
      <c r="J381" s="17" t="inlineStr">
        <is>
          <t>Boosters</t>
        </is>
      </c>
      <c r="K381" s="17" t="inlineStr">
        <is>
          <t>Exited Early</t>
        </is>
      </c>
      <c r="L381" s="17" t="inlineStr">
        <is>
          <t>Paid</t>
        </is>
      </c>
      <c r="M381" s="17" t="n">
        <v>45</v>
      </c>
      <c r="N381" s="17" t="inlineStr">
        <is>
          <t>Yes</t>
        </is>
      </c>
    </row>
    <row r="382">
      <c r="A382" s="17" t="inlineStr">
        <is>
          <t>S00378</t>
        </is>
      </c>
      <c r="B382" s="17" t="inlineStr">
        <is>
          <t>P2591</t>
        </is>
      </c>
      <c r="C382" s="17" t="inlineStr">
        <is>
          <t>caitlingonzales</t>
        </is>
      </c>
      <c r="D382" s="17" t="inlineStr">
        <is>
          <t>BattleZone</t>
        </is>
      </c>
      <c r="E382" s="17" t="inlineStr">
        <is>
          <t>Console</t>
        </is>
      </c>
      <c r="F382" s="17" t="inlineStr">
        <is>
          <t>South</t>
        </is>
      </c>
      <c r="G382" s="17" t="inlineStr">
        <is>
          <t>2025-05-11</t>
        </is>
      </c>
      <c r="H382" s="17" t="n">
        <v>109</v>
      </c>
      <c r="I382" s="17" t="n">
        <v>39.87</v>
      </c>
      <c r="J382" s="17" t="inlineStr">
        <is>
          <t>Boosters</t>
        </is>
      </c>
      <c r="K382" s="17" t="inlineStr">
        <is>
          <t>Completed</t>
        </is>
      </c>
      <c r="L382" s="17" t="inlineStr">
        <is>
          <t>Paid</t>
        </is>
      </c>
      <c r="M382" s="17" t="n">
        <v>13</v>
      </c>
      <c r="N382" s="17" t="inlineStr">
        <is>
          <t>No</t>
        </is>
      </c>
    </row>
    <row r="383">
      <c r="A383" s="17" t="inlineStr">
        <is>
          <t>S00379</t>
        </is>
      </c>
      <c r="B383" s="17" t="inlineStr">
        <is>
          <t>P1302</t>
        </is>
      </c>
      <c r="C383" s="17" t="inlineStr">
        <is>
          <t>tdavis</t>
        </is>
      </c>
      <c r="D383" s="17" t="inlineStr">
        <is>
          <t>Clash of Realms</t>
        </is>
      </c>
      <c r="E383" s="17" t="inlineStr">
        <is>
          <t>Mobile</t>
        </is>
      </c>
      <c r="F383" s="17" t="inlineStr">
        <is>
          <t>South</t>
        </is>
      </c>
      <c r="G383" s="17" t="inlineStr">
        <is>
          <t>2025-03-17</t>
        </is>
      </c>
      <c r="H383" s="17" t="n">
        <v>167</v>
      </c>
      <c r="I383" s="17" t="n">
        <v>0</v>
      </c>
      <c r="J383" s="17" t="n"/>
      <c r="K383" s="17" t="inlineStr">
        <is>
          <t>Exited Early</t>
        </is>
      </c>
      <c r="L383" s="17" t="inlineStr">
        <is>
          <t>Paid</t>
        </is>
      </c>
      <c r="M383" s="17" t="n">
        <v>28</v>
      </c>
      <c r="N383" s="17" t="inlineStr">
        <is>
          <t>Yes</t>
        </is>
      </c>
    </row>
    <row r="384">
      <c r="A384" s="17" t="inlineStr">
        <is>
          <t>S00380</t>
        </is>
      </c>
      <c r="B384" s="17" t="inlineStr">
        <is>
          <t>P7023</t>
        </is>
      </c>
      <c r="C384" s="17" t="inlineStr">
        <is>
          <t>jessicacisneros</t>
        </is>
      </c>
      <c r="D384" s="17" t="inlineStr">
        <is>
          <t>SpeedX</t>
        </is>
      </c>
      <c r="E384" s="17" t="inlineStr">
        <is>
          <t>Mobile</t>
        </is>
      </c>
      <c r="F384" s="17" t="inlineStr">
        <is>
          <t>West</t>
        </is>
      </c>
      <c r="G384" s="17" t="inlineStr">
        <is>
          <t>2025-02-06</t>
        </is>
      </c>
      <c r="H384" s="17" t="n">
        <v>36</v>
      </c>
      <c r="I384" s="17" t="n">
        <v>14.75</v>
      </c>
      <c r="J384" s="17" t="inlineStr">
        <is>
          <t>Battle Pass</t>
        </is>
      </c>
      <c r="K384" s="17" t="inlineStr">
        <is>
          <t>Completed</t>
        </is>
      </c>
      <c r="L384" s="17" t="inlineStr">
        <is>
          <t>Paid</t>
        </is>
      </c>
      <c r="M384" s="17" t="n">
        <v>46</v>
      </c>
      <c r="N384" s="17" t="inlineStr">
        <is>
          <t>No</t>
        </is>
      </c>
    </row>
    <row r="385">
      <c r="A385" s="17" t="inlineStr">
        <is>
          <t>S00381</t>
        </is>
      </c>
      <c r="B385" s="17" t="inlineStr">
        <is>
          <t>P3795</t>
        </is>
      </c>
      <c r="C385" s="17" t="inlineStr">
        <is>
          <t>shelbyvalencia</t>
        </is>
      </c>
      <c r="D385" s="17" t="inlineStr">
        <is>
          <t>SpeedX</t>
        </is>
      </c>
      <c r="E385" s="17" t="inlineStr">
        <is>
          <t>Mobile</t>
        </is>
      </c>
      <c r="F385" s="17" t="inlineStr">
        <is>
          <t>Central</t>
        </is>
      </c>
      <c r="G385" s="17" t="inlineStr">
        <is>
          <t>2025-03-21</t>
        </is>
      </c>
      <c r="H385" s="17" t="n">
        <v>54</v>
      </c>
      <c r="I385" s="17" t="n">
        <v>0</v>
      </c>
      <c r="J385" s="17" t="n"/>
      <c r="K385" s="17" t="inlineStr">
        <is>
          <t>Completed</t>
        </is>
      </c>
      <c r="L385" s="17" t="inlineStr">
        <is>
          <t>Free</t>
        </is>
      </c>
      <c r="M385" s="17" t="n">
        <v>25</v>
      </c>
      <c r="N385" s="17" t="inlineStr">
        <is>
          <t>No</t>
        </is>
      </c>
    </row>
    <row r="386">
      <c r="A386" s="17" t="inlineStr">
        <is>
          <t>S00382</t>
        </is>
      </c>
      <c r="B386" s="17" t="inlineStr">
        <is>
          <t>P6609</t>
        </is>
      </c>
      <c r="C386" s="17" t="inlineStr">
        <is>
          <t>jonathan22</t>
        </is>
      </c>
      <c r="D386" s="17" t="inlineStr">
        <is>
          <t>BattleZone</t>
        </is>
      </c>
      <c r="E386" s="17" t="inlineStr">
        <is>
          <t>Console</t>
        </is>
      </c>
      <c r="F386" s="17" t="inlineStr">
        <is>
          <t>North</t>
        </is>
      </c>
      <c r="G386" s="17" t="inlineStr">
        <is>
          <t>2024-12-30</t>
        </is>
      </c>
      <c r="H386" s="17" t="n">
        <v>15</v>
      </c>
      <c r="I386" s="17" t="n">
        <v>0</v>
      </c>
      <c r="J386" s="17" t="n"/>
      <c r="K386" s="17" t="inlineStr">
        <is>
          <t>Completed</t>
        </is>
      </c>
      <c r="L386" s="17" t="inlineStr">
        <is>
          <t>Free</t>
        </is>
      </c>
      <c r="M386" s="17" t="n">
        <v>19</v>
      </c>
      <c r="N386" s="17" t="inlineStr">
        <is>
          <t>No</t>
        </is>
      </c>
    </row>
    <row r="387">
      <c r="A387" s="17" t="inlineStr">
        <is>
          <t>S00383</t>
        </is>
      </c>
      <c r="B387" s="17" t="inlineStr">
        <is>
          <t>P8505</t>
        </is>
      </c>
      <c r="C387" s="17" t="inlineStr">
        <is>
          <t>derrickbuck</t>
        </is>
      </c>
      <c r="D387" s="17" t="inlineStr">
        <is>
          <t>SpeedX</t>
        </is>
      </c>
      <c r="E387" s="17" t="inlineStr">
        <is>
          <t>Console</t>
        </is>
      </c>
      <c r="F387" s="17" t="inlineStr">
        <is>
          <t>East</t>
        </is>
      </c>
      <c r="G387" s="17" t="inlineStr">
        <is>
          <t>2025-04-29</t>
        </is>
      </c>
      <c r="H387" s="17" t="n">
        <v>101</v>
      </c>
      <c r="I387" s="17" t="n">
        <v>0</v>
      </c>
      <c r="J387" s="17" t="n"/>
      <c r="K387" s="17" t="inlineStr">
        <is>
          <t>Incomplete</t>
        </is>
      </c>
      <c r="L387" s="17" t="inlineStr">
        <is>
          <t>Free</t>
        </is>
      </c>
      <c r="M387" s="17" t="n">
        <v>41</v>
      </c>
      <c r="N387" s="17" t="inlineStr">
        <is>
          <t>No</t>
        </is>
      </c>
    </row>
    <row r="388">
      <c r="A388" s="17" t="inlineStr">
        <is>
          <t>S00384</t>
        </is>
      </c>
      <c r="B388" s="17" t="inlineStr">
        <is>
          <t>P6967</t>
        </is>
      </c>
      <c r="C388" s="17" t="inlineStr">
        <is>
          <t>zvargas</t>
        </is>
      </c>
      <c r="D388" s="17" t="inlineStr">
        <is>
          <t>SpeedX</t>
        </is>
      </c>
      <c r="E388" s="17" t="inlineStr">
        <is>
          <t>Mobile</t>
        </is>
      </c>
      <c r="F388" s="17" t="inlineStr">
        <is>
          <t>East</t>
        </is>
      </c>
      <c r="G388" s="17" t="inlineStr">
        <is>
          <t>2025-01-27</t>
        </is>
      </c>
      <c r="H388" s="17" t="n">
        <v>79</v>
      </c>
      <c r="I388" s="17" t="n">
        <v>0</v>
      </c>
      <c r="J388" s="17" t="n"/>
      <c r="K388" s="17" t="inlineStr">
        <is>
          <t>Completed</t>
        </is>
      </c>
      <c r="L388" s="17" t="inlineStr">
        <is>
          <t>Free</t>
        </is>
      </c>
      <c r="M388" s="17" t="n">
        <v>48</v>
      </c>
      <c r="N388" s="17" t="inlineStr">
        <is>
          <t>No</t>
        </is>
      </c>
    </row>
    <row r="389">
      <c r="A389" s="17" t="inlineStr">
        <is>
          <t>S00385</t>
        </is>
      </c>
      <c r="B389" s="17" t="inlineStr">
        <is>
          <t>P5442</t>
        </is>
      </c>
      <c r="C389" s="17" t="inlineStr">
        <is>
          <t>rsutton</t>
        </is>
      </c>
      <c r="D389" s="17" t="inlineStr">
        <is>
          <t>Clash of Realms</t>
        </is>
      </c>
      <c r="E389" s="17" t="inlineStr">
        <is>
          <t>PC</t>
        </is>
      </c>
      <c r="F389" s="17" t="inlineStr">
        <is>
          <t>North</t>
        </is>
      </c>
      <c r="G389" s="17" t="inlineStr">
        <is>
          <t>2025-04-04</t>
        </is>
      </c>
      <c r="H389" s="17" t="n">
        <v>13</v>
      </c>
      <c r="I389" s="17" t="n">
        <v>0</v>
      </c>
      <c r="J389" s="17" t="n"/>
      <c r="K389" s="17" t="inlineStr">
        <is>
          <t>Completed</t>
        </is>
      </c>
      <c r="L389" s="17" t="inlineStr">
        <is>
          <t>Free</t>
        </is>
      </c>
      <c r="M389" s="17" t="n">
        <v>13</v>
      </c>
      <c r="N389" s="17" t="inlineStr">
        <is>
          <t>No</t>
        </is>
      </c>
    </row>
    <row r="390">
      <c r="A390" s="17" t="inlineStr">
        <is>
          <t>S00386</t>
        </is>
      </c>
      <c r="B390" s="17" t="inlineStr">
        <is>
          <t>P5885</t>
        </is>
      </c>
      <c r="C390" s="17" t="inlineStr">
        <is>
          <t>olopez</t>
        </is>
      </c>
      <c r="D390" s="17" t="inlineStr">
        <is>
          <t>Zombie Rush</t>
        </is>
      </c>
      <c r="E390" s="17" t="inlineStr">
        <is>
          <t>Console</t>
        </is>
      </c>
      <c r="F390" s="17" t="inlineStr">
        <is>
          <t>North-East</t>
        </is>
      </c>
      <c r="G390" s="17" t="inlineStr">
        <is>
          <t>2025-01-06</t>
        </is>
      </c>
      <c r="H390" s="17" t="n">
        <v>157</v>
      </c>
      <c r="I390" s="17" t="n">
        <v>0</v>
      </c>
      <c r="J390" s="17" t="n"/>
      <c r="K390" s="17" t="inlineStr">
        <is>
          <t>Completed</t>
        </is>
      </c>
      <c r="L390" s="17" t="inlineStr">
        <is>
          <t>Free</t>
        </is>
      </c>
      <c r="M390" s="17" t="n">
        <v>22</v>
      </c>
      <c r="N390" s="17" t="inlineStr">
        <is>
          <t>Yes</t>
        </is>
      </c>
    </row>
    <row r="391">
      <c r="A391" s="17" t="inlineStr">
        <is>
          <t>S00387</t>
        </is>
      </c>
      <c r="B391" s="17" t="inlineStr">
        <is>
          <t>P2635</t>
        </is>
      </c>
      <c r="C391" s="17" t="inlineStr">
        <is>
          <t>carol86</t>
        </is>
      </c>
      <c r="D391" s="17" t="inlineStr">
        <is>
          <t>SpeedX</t>
        </is>
      </c>
      <c r="E391" s="17" t="inlineStr">
        <is>
          <t>Console</t>
        </is>
      </c>
      <c r="F391" s="17" t="inlineStr">
        <is>
          <t>North-East</t>
        </is>
      </c>
      <c r="G391" s="17" t="inlineStr">
        <is>
          <t>2025-06-05</t>
        </is>
      </c>
      <c r="H391" s="17" t="n">
        <v>6</v>
      </c>
      <c r="I391" s="17" t="n">
        <v>0</v>
      </c>
      <c r="J391" s="17" t="n"/>
      <c r="K391" s="17" t="inlineStr">
        <is>
          <t>Crashed</t>
        </is>
      </c>
      <c r="L391" s="17" t="inlineStr">
        <is>
          <t>Free</t>
        </is>
      </c>
      <c r="M391" s="17" t="n">
        <v>7</v>
      </c>
      <c r="N391" s="17" t="inlineStr">
        <is>
          <t>No</t>
        </is>
      </c>
    </row>
    <row r="392">
      <c r="A392" s="17" t="inlineStr">
        <is>
          <t>S00388</t>
        </is>
      </c>
      <c r="B392" s="17" t="inlineStr">
        <is>
          <t>P6440</t>
        </is>
      </c>
      <c r="C392" s="17" t="inlineStr">
        <is>
          <t>lisabarber</t>
        </is>
      </c>
      <c r="D392" s="17" t="inlineStr">
        <is>
          <t>Clash of Realms</t>
        </is>
      </c>
      <c r="E392" s="17" t="inlineStr">
        <is>
          <t>Console</t>
        </is>
      </c>
      <c r="F392" s="17" t="inlineStr">
        <is>
          <t>North</t>
        </is>
      </c>
      <c r="G392" s="17" t="inlineStr">
        <is>
          <t>2025-06-01</t>
        </is>
      </c>
      <c r="H392" s="17" t="n">
        <v>134</v>
      </c>
      <c r="I392" s="17" t="n">
        <v>0</v>
      </c>
      <c r="J392" s="17" t="n"/>
      <c r="K392" s="17" t="inlineStr">
        <is>
          <t>Completed</t>
        </is>
      </c>
      <c r="L392" s="17" t="inlineStr">
        <is>
          <t>Free</t>
        </is>
      </c>
      <c r="M392" s="17" t="n">
        <v>28</v>
      </c>
      <c r="N392" s="17" t="inlineStr">
        <is>
          <t>No</t>
        </is>
      </c>
    </row>
    <row r="393">
      <c r="A393" s="17" t="inlineStr">
        <is>
          <t>S00389</t>
        </is>
      </c>
      <c r="B393" s="17" t="inlineStr">
        <is>
          <t>P4758</t>
        </is>
      </c>
      <c r="C393" s="17" t="inlineStr">
        <is>
          <t>howardsamantha</t>
        </is>
      </c>
      <c r="D393" s="17" t="inlineStr">
        <is>
          <t>Empire Wars</t>
        </is>
      </c>
      <c r="E393" s="17" t="inlineStr">
        <is>
          <t>PC</t>
        </is>
      </c>
      <c r="F393" s="17" t="inlineStr">
        <is>
          <t>North-East</t>
        </is>
      </c>
      <c r="G393" s="17" t="inlineStr">
        <is>
          <t>2025-05-26</t>
        </is>
      </c>
      <c r="H393" s="17" t="n">
        <v>76</v>
      </c>
      <c r="I393" s="17" t="n">
        <v>37.02</v>
      </c>
      <c r="J393" s="17" t="inlineStr">
        <is>
          <t>Battle Pass</t>
        </is>
      </c>
      <c r="K393" s="17" t="inlineStr">
        <is>
          <t>Completed</t>
        </is>
      </c>
      <c r="L393" s="17" t="inlineStr">
        <is>
          <t>Paid</t>
        </is>
      </c>
      <c r="M393" s="17" t="n">
        <v>4</v>
      </c>
      <c r="N393" s="17" t="inlineStr">
        <is>
          <t>No</t>
        </is>
      </c>
    </row>
    <row r="394">
      <c r="A394" s="17" t="inlineStr">
        <is>
          <t>S00390</t>
        </is>
      </c>
      <c r="B394" s="17" t="inlineStr">
        <is>
          <t>P9103</t>
        </is>
      </c>
      <c r="C394" s="17" t="inlineStr">
        <is>
          <t>lance41</t>
        </is>
      </c>
      <c r="D394" s="17" t="inlineStr">
        <is>
          <t>Zombie Rush</t>
        </is>
      </c>
      <c r="E394" s="17" t="inlineStr">
        <is>
          <t>Console</t>
        </is>
      </c>
      <c r="F394" s="17" t="inlineStr">
        <is>
          <t>West</t>
        </is>
      </c>
      <c r="G394" s="17" t="inlineStr">
        <is>
          <t>2025-05-06</t>
        </is>
      </c>
      <c r="H394" s="17" t="n">
        <v>71</v>
      </c>
      <c r="I394" s="17" t="n">
        <v>0</v>
      </c>
      <c r="J394" s="17" t="n"/>
      <c r="K394" s="17" t="inlineStr">
        <is>
          <t>Completed</t>
        </is>
      </c>
      <c r="L394" s="17" t="inlineStr">
        <is>
          <t>Free</t>
        </is>
      </c>
      <c r="M394" s="17" t="n">
        <v>46</v>
      </c>
      <c r="N394" s="17" t="inlineStr">
        <is>
          <t>No</t>
        </is>
      </c>
    </row>
    <row r="395">
      <c r="A395" s="17" t="inlineStr">
        <is>
          <t>S00391</t>
        </is>
      </c>
      <c r="B395" s="17" t="inlineStr">
        <is>
          <t>P1344</t>
        </is>
      </c>
      <c r="C395" s="17" t="inlineStr">
        <is>
          <t>williamsonkirsten</t>
        </is>
      </c>
      <c r="D395" s="17" t="inlineStr">
        <is>
          <t>SpeedX</t>
        </is>
      </c>
      <c r="E395" s="17" t="inlineStr">
        <is>
          <t>PC</t>
        </is>
      </c>
      <c r="F395" s="17" t="inlineStr">
        <is>
          <t>West</t>
        </is>
      </c>
      <c r="G395" s="17" t="inlineStr">
        <is>
          <t>2025-01-03</t>
        </is>
      </c>
      <c r="H395" s="17" t="n">
        <v>49</v>
      </c>
      <c r="I395" s="17" t="n">
        <v>19.43</v>
      </c>
      <c r="J395" s="17" t="inlineStr">
        <is>
          <t>Battle Pass</t>
        </is>
      </c>
      <c r="K395" s="17" t="inlineStr">
        <is>
          <t>Completed</t>
        </is>
      </c>
      <c r="L395" s="17" t="inlineStr">
        <is>
          <t>Paid</t>
        </is>
      </c>
      <c r="M395" s="17" t="n">
        <v>22</v>
      </c>
      <c r="N395" s="17" t="inlineStr">
        <is>
          <t>No</t>
        </is>
      </c>
    </row>
    <row r="396">
      <c r="A396" s="17" t="inlineStr">
        <is>
          <t>S00392</t>
        </is>
      </c>
      <c r="B396" s="17" t="inlineStr">
        <is>
          <t>P2684</t>
        </is>
      </c>
      <c r="C396" s="17" t="inlineStr">
        <is>
          <t>bellraymond</t>
        </is>
      </c>
      <c r="D396" s="17" t="inlineStr">
        <is>
          <t>Zombie Rush</t>
        </is>
      </c>
      <c r="E396" s="17" t="inlineStr">
        <is>
          <t>Mobile</t>
        </is>
      </c>
      <c r="F396" s="17" t="inlineStr">
        <is>
          <t>Central</t>
        </is>
      </c>
      <c r="G396" s="17" t="inlineStr">
        <is>
          <t>2025-05-31</t>
        </is>
      </c>
      <c r="H396" s="17" t="n">
        <v>143</v>
      </c>
      <c r="I396" s="17" t="n">
        <v>0</v>
      </c>
      <c r="J396" s="17" t="n"/>
      <c r="K396" s="17" t="inlineStr">
        <is>
          <t>Incomplete</t>
        </is>
      </c>
      <c r="L396" s="17" t="inlineStr">
        <is>
          <t>Free</t>
        </is>
      </c>
      <c r="M396" s="17" t="n">
        <v>17</v>
      </c>
      <c r="N396" s="17" t="inlineStr">
        <is>
          <t>No</t>
        </is>
      </c>
    </row>
    <row r="397">
      <c r="A397" s="17" t="inlineStr">
        <is>
          <t>S00393</t>
        </is>
      </c>
      <c r="B397" s="17" t="inlineStr">
        <is>
          <t>P1494</t>
        </is>
      </c>
      <c r="C397" s="17" t="inlineStr">
        <is>
          <t>steven30</t>
        </is>
      </c>
      <c r="D397" s="17" t="inlineStr">
        <is>
          <t>Empire Wars</t>
        </is>
      </c>
      <c r="E397" s="17" t="inlineStr">
        <is>
          <t>Mobile</t>
        </is>
      </c>
      <c r="F397" s="17" t="inlineStr">
        <is>
          <t>West</t>
        </is>
      </c>
      <c r="G397" s="17" t="inlineStr">
        <is>
          <t>2025-02-15</t>
        </is>
      </c>
      <c r="H397" s="17" t="n">
        <v>166</v>
      </c>
      <c r="I397" s="17" t="n">
        <v>0</v>
      </c>
      <c r="J397" s="17" t="n"/>
      <c r="K397" s="17" t="inlineStr">
        <is>
          <t>Completed</t>
        </is>
      </c>
      <c r="L397" s="17" t="inlineStr">
        <is>
          <t>Free</t>
        </is>
      </c>
      <c r="M397" s="17" t="n">
        <v>39</v>
      </c>
      <c r="N397" s="17" t="inlineStr">
        <is>
          <t>Yes</t>
        </is>
      </c>
    </row>
    <row r="398">
      <c r="A398" s="17" t="inlineStr">
        <is>
          <t>S00394</t>
        </is>
      </c>
      <c r="B398" s="17" t="inlineStr">
        <is>
          <t>P6548</t>
        </is>
      </c>
      <c r="C398" s="17" t="inlineStr">
        <is>
          <t>hillchristopher</t>
        </is>
      </c>
      <c r="D398" s="17" t="inlineStr">
        <is>
          <t>Zombie Rush</t>
        </is>
      </c>
      <c r="E398" s="17" t="inlineStr">
        <is>
          <t>PC</t>
        </is>
      </c>
      <c r="F398" s="17" t="inlineStr">
        <is>
          <t>North-East</t>
        </is>
      </c>
      <c r="G398" s="17" t="inlineStr">
        <is>
          <t>2025-05-29</t>
        </is>
      </c>
      <c r="H398" s="17" t="n">
        <v>34</v>
      </c>
      <c r="I398" s="17" t="n">
        <v>0</v>
      </c>
      <c r="J398" s="17" t="n"/>
      <c r="K398" s="17" t="inlineStr">
        <is>
          <t>Completed</t>
        </is>
      </c>
      <c r="L398" s="17" t="inlineStr">
        <is>
          <t>Free</t>
        </is>
      </c>
      <c r="M398" s="17" t="n">
        <v>45</v>
      </c>
      <c r="N398" s="17" t="inlineStr">
        <is>
          <t>No</t>
        </is>
      </c>
    </row>
    <row r="399">
      <c r="A399" s="17" t="inlineStr">
        <is>
          <t>S00395</t>
        </is>
      </c>
      <c r="B399" s="17" t="inlineStr">
        <is>
          <t>P8926</t>
        </is>
      </c>
      <c r="C399" s="17" t="inlineStr">
        <is>
          <t>ftyler</t>
        </is>
      </c>
      <c r="D399" s="17" t="inlineStr">
        <is>
          <t>Empire Wars</t>
        </is>
      </c>
      <c r="E399" s="17" t="inlineStr">
        <is>
          <t>Console</t>
        </is>
      </c>
      <c r="F399" s="17" t="inlineStr">
        <is>
          <t>West</t>
        </is>
      </c>
      <c r="G399" s="17" t="inlineStr">
        <is>
          <t>2025-01-28</t>
        </is>
      </c>
      <c r="H399" s="17" t="n">
        <v>57</v>
      </c>
      <c r="I399" s="17" t="n">
        <v>0</v>
      </c>
      <c r="J399" s="17" t="n"/>
      <c r="K399" s="17" t="inlineStr">
        <is>
          <t>Completed</t>
        </is>
      </c>
      <c r="L399" s="17" t="inlineStr">
        <is>
          <t>Free</t>
        </is>
      </c>
      <c r="M399" s="17" t="n">
        <v>1</v>
      </c>
      <c r="N399" s="17" t="inlineStr">
        <is>
          <t>No</t>
        </is>
      </c>
    </row>
    <row r="400">
      <c r="A400" s="17" t="inlineStr">
        <is>
          <t>S00396</t>
        </is>
      </c>
      <c r="B400" s="17" t="inlineStr">
        <is>
          <t>P2202</t>
        </is>
      </c>
      <c r="C400" s="17" t="inlineStr">
        <is>
          <t>soliskyle</t>
        </is>
      </c>
      <c r="D400" s="17" t="inlineStr">
        <is>
          <t>SpeedX</t>
        </is>
      </c>
      <c r="E400" s="17" t="inlineStr">
        <is>
          <t>Mobile</t>
        </is>
      </c>
      <c r="F400" s="17" t="inlineStr">
        <is>
          <t>East</t>
        </is>
      </c>
      <c r="G400" s="17" t="inlineStr">
        <is>
          <t>2025-03-23</t>
        </is>
      </c>
      <c r="H400" s="17" t="n">
        <v>88</v>
      </c>
      <c r="I400" s="17" t="n">
        <v>0</v>
      </c>
      <c r="J400" s="17" t="n"/>
      <c r="K400" s="17" t="inlineStr">
        <is>
          <t>Completed</t>
        </is>
      </c>
      <c r="L400" s="17" t="inlineStr">
        <is>
          <t>Free</t>
        </is>
      </c>
      <c r="M400" s="17" t="n">
        <v>2</v>
      </c>
      <c r="N400" s="17" t="inlineStr">
        <is>
          <t>No</t>
        </is>
      </c>
    </row>
    <row r="401">
      <c r="A401" s="17" t="inlineStr">
        <is>
          <t>S00397</t>
        </is>
      </c>
      <c r="B401" s="17" t="inlineStr">
        <is>
          <t>P9321</t>
        </is>
      </c>
      <c r="C401" s="17" t="inlineStr">
        <is>
          <t>angelicawillis</t>
        </is>
      </c>
      <c r="D401" s="17" t="inlineStr">
        <is>
          <t>BattleZone</t>
        </is>
      </c>
      <c r="E401" s="17" t="inlineStr">
        <is>
          <t>Mobile</t>
        </is>
      </c>
      <c r="F401" s="17" t="inlineStr">
        <is>
          <t>North</t>
        </is>
      </c>
      <c r="G401" s="17" t="inlineStr">
        <is>
          <t>2025-05-07</t>
        </is>
      </c>
      <c r="H401" s="17" t="n">
        <v>75</v>
      </c>
      <c r="I401" s="17" t="n">
        <v>0</v>
      </c>
      <c r="J401" s="17" t="n"/>
      <c r="K401" s="17" t="inlineStr">
        <is>
          <t>Completed</t>
        </is>
      </c>
      <c r="L401" s="17" t="inlineStr">
        <is>
          <t>Free</t>
        </is>
      </c>
      <c r="M401" s="17" t="n">
        <v>13</v>
      </c>
      <c r="N401" s="17" t="inlineStr">
        <is>
          <t>No</t>
        </is>
      </c>
    </row>
    <row r="402">
      <c r="A402" s="17" t="inlineStr">
        <is>
          <t>S00398</t>
        </is>
      </c>
      <c r="B402" s="17" t="inlineStr">
        <is>
          <t>P6922</t>
        </is>
      </c>
      <c r="C402" s="17" t="inlineStr">
        <is>
          <t>aprince</t>
        </is>
      </c>
      <c r="D402" s="17" t="inlineStr">
        <is>
          <t>SpeedX</t>
        </is>
      </c>
      <c r="E402" s="17" t="inlineStr">
        <is>
          <t>PC</t>
        </is>
      </c>
      <c r="F402" s="17" t="inlineStr">
        <is>
          <t>East</t>
        </is>
      </c>
      <c r="G402" s="17" t="inlineStr">
        <is>
          <t>2025-02-15</t>
        </is>
      </c>
      <c r="H402" s="17" t="n">
        <v>129</v>
      </c>
      <c r="I402" s="17" t="n">
        <v>0</v>
      </c>
      <c r="J402" s="17" t="n"/>
      <c r="K402" s="17" t="inlineStr">
        <is>
          <t>Incomplete</t>
        </is>
      </c>
      <c r="L402" s="17" t="inlineStr">
        <is>
          <t>Free</t>
        </is>
      </c>
      <c r="M402" s="17" t="n">
        <v>37</v>
      </c>
      <c r="N402" s="17" t="inlineStr">
        <is>
          <t>No</t>
        </is>
      </c>
    </row>
    <row r="403">
      <c r="A403" s="17" t="inlineStr">
        <is>
          <t>S00399</t>
        </is>
      </c>
      <c r="B403" s="17" t="inlineStr">
        <is>
          <t>P6788</t>
        </is>
      </c>
      <c r="C403" s="17" t="inlineStr">
        <is>
          <t>dylanblack</t>
        </is>
      </c>
      <c r="D403" s="17" t="inlineStr">
        <is>
          <t>Zombie Rush</t>
        </is>
      </c>
      <c r="E403" s="17" t="inlineStr">
        <is>
          <t>Console</t>
        </is>
      </c>
      <c r="F403" s="17" t="inlineStr">
        <is>
          <t>East</t>
        </is>
      </c>
      <c r="G403" s="17" t="inlineStr">
        <is>
          <t>2025-04-06</t>
        </is>
      </c>
      <c r="H403" s="17" t="n">
        <v>145</v>
      </c>
      <c r="I403" s="17" t="n">
        <v>0</v>
      </c>
      <c r="J403" s="17" t="n"/>
      <c r="K403" s="17" t="inlineStr">
        <is>
          <t>Completed</t>
        </is>
      </c>
      <c r="L403" s="17" t="inlineStr">
        <is>
          <t>Free</t>
        </is>
      </c>
      <c r="M403" s="17" t="n">
        <v>43</v>
      </c>
      <c r="N403" s="17" t="inlineStr">
        <is>
          <t>No</t>
        </is>
      </c>
    </row>
    <row r="404">
      <c r="A404" s="17" t="inlineStr">
        <is>
          <t>S00400</t>
        </is>
      </c>
      <c r="B404" s="17" t="inlineStr">
        <is>
          <t>P1936</t>
        </is>
      </c>
      <c r="C404" s="17" t="inlineStr">
        <is>
          <t>hoodchristopher</t>
        </is>
      </c>
      <c r="D404" s="17" t="inlineStr">
        <is>
          <t>Zombie Rush</t>
        </is>
      </c>
      <c r="E404" s="17" t="inlineStr">
        <is>
          <t>Console</t>
        </is>
      </c>
      <c r="F404" s="17" t="inlineStr">
        <is>
          <t>North</t>
        </is>
      </c>
      <c r="G404" s="17" t="inlineStr">
        <is>
          <t>2025-01-22</t>
        </is>
      </c>
      <c r="H404" s="17" t="n">
        <v>23</v>
      </c>
      <c r="I404" s="17" t="n">
        <v>0</v>
      </c>
      <c r="J404" s="17" t="n"/>
      <c r="K404" s="17" t="inlineStr">
        <is>
          <t>Completed</t>
        </is>
      </c>
      <c r="L404" s="17" t="inlineStr">
        <is>
          <t>Paid</t>
        </is>
      </c>
      <c r="M404" s="17" t="n">
        <v>26</v>
      </c>
      <c r="N404" s="17" t="inlineStr">
        <is>
          <t>No</t>
        </is>
      </c>
    </row>
    <row r="405">
      <c r="A405" s="17" t="inlineStr">
        <is>
          <t>S00401</t>
        </is>
      </c>
      <c r="B405" s="17" t="inlineStr">
        <is>
          <t>P3613</t>
        </is>
      </c>
      <c r="C405" s="17" t="inlineStr">
        <is>
          <t>sandraclark</t>
        </is>
      </c>
      <c r="D405" s="17" t="inlineStr">
        <is>
          <t>SpeedX</t>
        </is>
      </c>
      <c r="E405" s="17" t="inlineStr">
        <is>
          <t>Mobile</t>
        </is>
      </c>
      <c r="F405" s="17" t="inlineStr">
        <is>
          <t>North</t>
        </is>
      </c>
      <c r="G405" s="17" t="inlineStr">
        <is>
          <t>2025-05-26</t>
        </is>
      </c>
      <c r="H405" s="17" t="n">
        <v>105</v>
      </c>
      <c r="I405" s="17" t="n">
        <v>0</v>
      </c>
      <c r="J405" s="17" t="n"/>
      <c r="K405" s="17" t="inlineStr">
        <is>
          <t>Completed</t>
        </is>
      </c>
      <c r="L405" s="17" t="inlineStr">
        <is>
          <t>Free</t>
        </is>
      </c>
      <c r="M405" s="17" t="n">
        <v>24</v>
      </c>
      <c r="N405" s="17" t="inlineStr">
        <is>
          <t>No</t>
        </is>
      </c>
    </row>
    <row r="406">
      <c r="A406" s="17" t="inlineStr">
        <is>
          <t>S00402</t>
        </is>
      </c>
      <c r="B406" s="17" t="inlineStr">
        <is>
          <t>P1659</t>
        </is>
      </c>
      <c r="C406" s="17" t="inlineStr">
        <is>
          <t>ffitzpatrick</t>
        </is>
      </c>
      <c r="D406" s="17" t="inlineStr">
        <is>
          <t>Empire Wars</t>
        </is>
      </c>
      <c r="E406" s="17" t="inlineStr">
        <is>
          <t>Console</t>
        </is>
      </c>
      <c r="F406" s="17" t="inlineStr">
        <is>
          <t>North</t>
        </is>
      </c>
      <c r="G406" s="17" t="inlineStr">
        <is>
          <t>2025-05-27</t>
        </is>
      </c>
      <c r="H406" s="17" t="n">
        <v>22</v>
      </c>
      <c r="I406" s="17" t="n">
        <v>42.28</v>
      </c>
      <c r="J406" s="17" t="inlineStr">
        <is>
          <t>Subscriptions</t>
        </is>
      </c>
      <c r="K406" s="17" t="inlineStr">
        <is>
          <t>Incomplete</t>
        </is>
      </c>
      <c r="L406" s="17" t="inlineStr">
        <is>
          <t>Paid</t>
        </is>
      </c>
      <c r="M406" s="17" t="n">
        <v>10</v>
      </c>
      <c r="N406" s="17" t="inlineStr">
        <is>
          <t>Yes</t>
        </is>
      </c>
    </row>
    <row r="407">
      <c r="A407" s="17" t="inlineStr">
        <is>
          <t>S00403</t>
        </is>
      </c>
      <c r="B407" s="17" t="inlineStr">
        <is>
          <t>P8982</t>
        </is>
      </c>
      <c r="C407" s="17" t="inlineStr">
        <is>
          <t>dominiquejohnson</t>
        </is>
      </c>
      <c r="D407" s="17" t="inlineStr">
        <is>
          <t>Empire Wars</t>
        </is>
      </c>
      <c r="E407" s="17" t="inlineStr">
        <is>
          <t>Mobile</t>
        </is>
      </c>
      <c r="F407" s="17" t="inlineStr">
        <is>
          <t>North-East</t>
        </is>
      </c>
      <c r="G407" s="17" t="inlineStr">
        <is>
          <t>2025-06-08</t>
        </is>
      </c>
      <c r="H407" s="17" t="n">
        <v>41</v>
      </c>
      <c r="I407" s="17" t="n">
        <v>24.14</v>
      </c>
      <c r="J407" s="17" t="inlineStr">
        <is>
          <t>Battle Pass</t>
        </is>
      </c>
      <c r="K407" s="17" t="inlineStr">
        <is>
          <t>Completed</t>
        </is>
      </c>
      <c r="L407" s="17" t="inlineStr">
        <is>
          <t>Paid</t>
        </is>
      </c>
      <c r="M407" s="17" t="n">
        <v>28</v>
      </c>
      <c r="N407" s="17" t="inlineStr">
        <is>
          <t>No</t>
        </is>
      </c>
    </row>
    <row r="408">
      <c r="A408" s="17" t="inlineStr">
        <is>
          <t>S00404</t>
        </is>
      </c>
      <c r="B408" s="17" t="inlineStr">
        <is>
          <t>P4516</t>
        </is>
      </c>
      <c r="C408" s="17" t="inlineStr">
        <is>
          <t>sellersgregory</t>
        </is>
      </c>
      <c r="D408" s="17" t="inlineStr">
        <is>
          <t>SpeedX</t>
        </is>
      </c>
      <c r="E408" s="17" t="inlineStr">
        <is>
          <t>Console</t>
        </is>
      </c>
      <c r="F408" s="17" t="inlineStr">
        <is>
          <t>North-East</t>
        </is>
      </c>
      <c r="G408" s="17" t="inlineStr">
        <is>
          <t>2025-05-21</t>
        </is>
      </c>
      <c r="H408" s="17" t="n">
        <v>9</v>
      </c>
      <c r="I408" s="17" t="n">
        <v>0</v>
      </c>
      <c r="J408" s="17" t="n"/>
      <c r="K408" s="17" t="inlineStr">
        <is>
          <t>Exited Early</t>
        </is>
      </c>
      <c r="L408" s="17" t="inlineStr">
        <is>
          <t>Free</t>
        </is>
      </c>
      <c r="M408" s="17" t="n">
        <v>40</v>
      </c>
      <c r="N408" s="17" t="inlineStr">
        <is>
          <t>No</t>
        </is>
      </c>
    </row>
    <row r="409">
      <c r="A409" s="17" t="inlineStr">
        <is>
          <t>S00405</t>
        </is>
      </c>
      <c r="B409" s="17" t="inlineStr">
        <is>
          <t>P6700</t>
        </is>
      </c>
      <c r="C409" s="17" t="inlineStr">
        <is>
          <t>armstrongmary</t>
        </is>
      </c>
      <c r="D409" s="17" t="inlineStr">
        <is>
          <t>Clash of Realms</t>
        </is>
      </c>
      <c r="E409" s="17" t="inlineStr">
        <is>
          <t>Console</t>
        </is>
      </c>
      <c r="F409" s="17" t="inlineStr">
        <is>
          <t>North</t>
        </is>
      </c>
      <c r="G409" s="17" t="inlineStr">
        <is>
          <t>2025-02-12</t>
        </is>
      </c>
      <c r="H409" s="17" t="n">
        <v>111</v>
      </c>
      <c r="I409" s="17" t="n">
        <v>0</v>
      </c>
      <c r="J409" s="17" t="n"/>
      <c r="K409" s="17" t="inlineStr">
        <is>
          <t>Completed</t>
        </is>
      </c>
      <c r="L409" s="17" t="inlineStr">
        <is>
          <t>Free</t>
        </is>
      </c>
      <c r="M409" s="17" t="n">
        <v>26</v>
      </c>
      <c r="N409" s="17" t="inlineStr">
        <is>
          <t>No</t>
        </is>
      </c>
    </row>
    <row r="410">
      <c r="A410" s="17" t="inlineStr">
        <is>
          <t>S00406</t>
        </is>
      </c>
      <c r="B410" s="17" t="inlineStr">
        <is>
          <t>P3545</t>
        </is>
      </c>
      <c r="C410" s="17" t="inlineStr">
        <is>
          <t>barnettdonna</t>
        </is>
      </c>
      <c r="D410" s="17" t="inlineStr">
        <is>
          <t>Empire Wars</t>
        </is>
      </c>
      <c r="E410" s="17" t="inlineStr">
        <is>
          <t>PC</t>
        </is>
      </c>
      <c r="F410" s="17" t="inlineStr">
        <is>
          <t>Central</t>
        </is>
      </c>
      <c r="G410" s="17" t="inlineStr">
        <is>
          <t>2025-05-24</t>
        </is>
      </c>
      <c r="H410" s="17" t="n">
        <v>25</v>
      </c>
      <c r="I410" s="17" t="n">
        <v>0</v>
      </c>
      <c r="J410" s="17" t="n"/>
      <c r="K410" s="17" t="inlineStr">
        <is>
          <t>Completed</t>
        </is>
      </c>
      <c r="L410" s="17" t="inlineStr">
        <is>
          <t>Free</t>
        </is>
      </c>
      <c r="M410" s="17" t="n">
        <v>12</v>
      </c>
      <c r="N410" s="17" t="inlineStr">
        <is>
          <t>No</t>
        </is>
      </c>
    </row>
    <row r="411">
      <c r="A411" s="17" t="inlineStr">
        <is>
          <t>S00407</t>
        </is>
      </c>
      <c r="B411" s="17" t="inlineStr">
        <is>
          <t>P8156</t>
        </is>
      </c>
      <c r="C411" s="17" t="inlineStr">
        <is>
          <t>melissaphillips</t>
        </is>
      </c>
      <c r="D411" s="17" t="inlineStr">
        <is>
          <t>BattleZone</t>
        </is>
      </c>
      <c r="E411" s="17" t="inlineStr">
        <is>
          <t>Mobile</t>
        </is>
      </c>
      <c r="F411" s="17" t="inlineStr">
        <is>
          <t>North-East</t>
        </is>
      </c>
      <c r="G411" s="17" t="inlineStr">
        <is>
          <t>2025-02-13</t>
        </is>
      </c>
      <c r="H411" s="17" t="n">
        <v>111</v>
      </c>
      <c r="I411" s="17" t="n">
        <v>46.08</v>
      </c>
      <c r="J411" s="17" t="inlineStr">
        <is>
          <t>Boosters</t>
        </is>
      </c>
      <c r="K411" s="17" t="inlineStr">
        <is>
          <t>Crashed</t>
        </is>
      </c>
      <c r="L411" s="17" t="inlineStr">
        <is>
          <t>Paid</t>
        </is>
      </c>
      <c r="M411" s="17" t="n">
        <v>15</v>
      </c>
      <c r="N411" s="17" t="inlineStr">
        <is>
          <t>Yes</t>
        </is>
      </c>
    </row>
    <row r="412">
      <c r="A412" s="17" t="inlineStr">
        <is>
          <t>S00408</t>
        </is>
      </c>
      <c r="B412" s="17" t="inlineStr">
        <is>
          <t>P9402</t>
        </is>
      </c>
      <c r="C412" s="17" t="inlineStr">
        <is>
          <t>hoffmandaniel</t>
        </is>
      </c>
      <c r="D412" s="17" t="inlineStr">
        <is>
          <t>SpeedX</t>
        </is>
      </c>
      <c r="E412" s="17" t="inlineStr">
        <is>
          <t>Console</t>
        </is>
      </c>
      <c r="F412" s="17" t="inlineStr">
        <is>
          <t>East</t>
        </is>
      </c>
      <c r="G412" s="17" t="inlineStr">
        <is>
          <t>2025-02-08</t>
        </is>
      </c>
      <c r="H412" s="17" t="n">
        <v>144</v>
      </c>
      <c r="I412" s="17" t="n">
        <v>0</v>
      </c>
      <c r="J412" s="17" t="n"/>
      <c r="K412" s="17" t="inlineStr">
        <is>
          <t>Incomplete</t>
        </is>
      </c>
      <c r="L412" s="17" t="inlineStr">
        <is>
          <t>Free</t>
        </is>
      </c>
      <c r="M412" s="17" t="n">
        <v>36</v>
      </c>
      <c r="N412" s="17" t="inlineStr">
        <is>
          <t>No</t>
        </is>
      </c>
    </row>
    <row r="413">
      <c r="A413" s="17" t="inlineStr">
        <is>
          <t>S00409</t>
        </is>
      </c>
      <c r="B413" s="17" t="inlineStr">
        <is>
          <t>P2227</t>
        </is>
      </c>
      <c r="C413" s="17" t="inlineStr">
        <is>
          <t>thomascorey</t>
        </is>
      </c>
      <c r="D413" s="17" t="inlineStr">
        <is>
          <t>SpeedX</t>
        </is>
      </c>
      <c r="E413" s="17" t="inlineStr">
        <is>
          <t>Mobile</t>
        </is>
      </c>
      <c r="F413" s="17" t="inlineStr">
        <is>
          <t>West</t>
        </is>
      </c>
      <c r="G413" s="17" t="inlineStr">
        <is>
          <t>2025-01-10</t>
        </is>
      </c>
      <c r="H413" s="17" t="n">
        <v>22</v>
      </c>
      <c r="I413" s="17" t="n">
        <v>17.35</v>
      </c>
      <c r="J413" s="17" t="inlineStr">
        <is>
          <t>Battle Pass</t>
        </is>
      </c>
      <c r="K413" s="17" t="inlineStr">
        <is>
          <t>Crashed</t>
        </is>
      </c>
      <c r="L413" s="17" t="inlineStr">
        <is>
          <t>Paid</t>
        </is>
      </c>
      <c r="M413" s="17" t="n">
        <v>49</v>
      </c>
      <c r="N413" s="17" t="inlineStr">
        <is>
          <t>No</t>
        </is>
      </c>
    </row>
    <row r="414">
      <c r="A414" s="17" t="inlineStr">
        <is>
          <t>S00410</t>
        </is>
      </c>
      <c r="B414" s="17" t="inlineStr">
        <is>
          <t>P2497</t>
        </is>
      </c>
      <c r="C414" s="17" t="inlineStr">
        <is>
          <t>thomas01</t>
        </is>
      </c>
      <c r="D414" s="17" t="inlineStr">
        <is>
          <t>Empire Wars</t>
        </is>
      </c>
      <c r="E414" s="17" t="inlineStr">
        <is>
          <t>Console</t>
        </is>
      </c>
      <c r="F414" s="17" t="inlineStr">
        <is>
          <t>North-East</t>
        </is>
      </c>
      <c r="G414" s="17" t="inlineStr">
        <is>
          <t>2025-02-13</t>
        </is>
      </c>
      <c r="H414" s="17" t="n">
        <v>154</v>
      </c>
      <c r="I414" s="17" t="n">
        <v>0</v>
      </c>
      <c r="J414" s="17" t="n"/>
      <c r="K414" s="17" t="inlineStr">
        <is>
          <t>Completed</t>
        </is>
      </c>
      <c r="L414" s="17" t="inlineStr">
        <is>
          <t>Free</t>
        </is>
      </c>
      <c r="M414" s="17" t="n">
        <v>27</v>
      </c>
      <c r="N414" s="17" t="inlineStr">
        <is>
          <t>Yes</t>
        </is>
      </c>
    </row>
    <row r="415">
      <c r="A415" s="17" t="inlineStr">
        <is>
          <t>S00411</t>
        </is>
      </c>
      <c r="B415" s="17" t="inlineStr">
        <is>
          <t>P3311</t>
        </is>
      </c>
      <c r="C415" s="17" t="inlineStr">
        <is>
          <t>riddleaaron</t>
        </is>
      </c>
      <c r="D415" s="17" t="inlineStr">
        <is>
          <t>Clash of Realms</t>
        </is>
      </c>
      <c r="E415" s="17" t="inlineStr">
        <is>
          <t>Console</t>
        </is>
      </c>
      <c r="F415" s="17" t="inlineStr">
        <is>
          <t>East</t>
        </is>
      </c>
      <c r="G415" s="17" t="inlineStr">
        <is>
          <t>2025-01-16</t>
        </is>
      </c>
      <c r="H415" s="17" t="n">
        <v>166</v>
      </c>
      <c r="I415" s="17" t="n">
        <v>0</v>
      </c>
      <c r="J415" s="17" t="n"/>
      <c r="K415" s="17" t="inlineStr">
        <is>
          <t>Incomplete</t>
        </is>
      </c>
      <c r="L415" s="17" t="inlineStr">
        <is>
          <t>Free</t>
        </is>
      </c>
      <c r="M415" s="17" t="n">
        <v>5</v>
      </c>
      <c r="N415" s="17" t="inlineStr">
        <is>
          <t>Yes</t>
        </is>
      </c>
    </row>
    <row r="416">
      <c r="A416" s="17" t="inlineStr">
        <is>
          <t>S00412</t>
        </is>
      </c>
      <c r="B416" s="17" t="inlineStr">
        <is>
          <t>P4171</t>
        </is>
      </c>
      <c r="C416" s="17" t="inlineStr">
        <is>
          <t>tdean</t>
        </is>
      </c>
      <c r="D416" s="17" t="inlineStr">
        <is>
          <t>SpeedX</t>
        </is>
      </c>
      <c r="E416" s="17" t="inlineStr">
        <is>
          <t>Console</t>
        </is>
      </c>
      <c r="F416" s="17" t="inlineStr">
        <is>
          <t>East</t>
        </is>
      </c>
      <c r="G416" s="17" t="inlineStr">
        <is>
          <t>2025-05-02</t>
        </is>
      </c>
      <c r="H416" s="17" t="n">
        <v>16</v>
      </c>
      <c r="I416" s="17" t="n">
        <v>0</v>
      </c>
      <c r="J416" s="17" t="n"/>
      <c r="K416" s="17" t="inlineStr">
        <is>
          <t>Completed</t>
        </is>
      </c>
      <c r="L416" s="17" t="inlineStr">
        <is>
          <t>Paid</t>
        </is>
      </c>
      <c r="M416" s="17" t="n">
        <v>16</v>
      </c>
      <c r="N416" s="17" t="inlineStr">
        <is>
          <t>No</t>
        </is>
      </c>
    </row>
    <row r="417">
      <c r="A417" s="17" t="inlineStr">
        <is>
          <t>S00413</t>
        </is>
      </c>
      <c r="B417" s="17" t="inlineStr">
        <is>
          <t>P5355</t>
        </is>
      </c>
      <c r="C417" s="17" t="inlineStr">
        <is>
          <t>bruce10</t>
        </is>
      </c>
      <c r="D417" s="17" t="inlineStr">
        <is>
          <t>Empire Wars</t>
        </is>
      </c>
      <c r="E417" s="17" t="inlineStr">
        <is>
          <t>Console</t>
        </is>
      </c>
      <c r="F417" s="17" t="inlineStr">
        <is>
          <t>North-East</t>
        </is>
      </c>
      <c r="G417" s="17" t="inlineStr">
        <is>
          <t>2025-01-20</t>
        </is>
      </c>
      <c r="H417" s="17" t="n">
        <v>144</v>
      </c>
      <c r="I417" s="17" t="n">
        <v>0</v>
      </c>
      <c r="J417" s="17" t="n"/>
      <c r="K417" s="17" t="inlineStr">
        <is>
          <t>Completed</t>
        </is>
      </c>
      <c r="L417" s="17" t="inlineStr">
        <is>
          <t>Free</t>
        </is>
      </c>
      <c r="M417" s="17" t="n">
        <v>3</v>
      </c>
      <c r="N417" s="17" t="inlineStr">
        <is>
          <t>No</t>
        </is>
      </c>
    </row>
    <row r="418">
      <c r="A418" s="17" t="inlineStr">
        <is>
          <t>S00414</t>
        </is>
      </c>
      <c r="B418" s="17" t="inlineStr">
        <is>
          <t>P4285</t>
        </is>
      </c>
      <c r="C418" s="17" t="inlineStr">
        <is>
          <t>annettejackson</t>
        </is>
      </c>
      <c r="D418" s="17" t="inlineStr">
        <is>
          <t>Zombie Rush</t>
        </is>
      </c>
      <c r="E418" s="17" t="inlineStr">
        <is>
          <t>Mobile</t>
        </is>
      </c>
      <c r="F418" s="17" t="inlineStr">
        <is>
          <t>Central</t>
        </is>
      </c>
      <c r="G418" s="17" t="inlineStr">
        <is>
          <t>2025-05-19</t>
        </is>
      </c>
      <c r="H418" s="17" t="n">
        <v>58</v>
      </c>
      <c r="I418" s="17" t="n">
        <v>0</v>
      </c>
      <c r="J418" s="17" t="n"/>
      <c r="K418" s="17" t="inlineStr">
        <is>
          <t>Completed</t>
        </is>
      </c>
      <c r="L418" s="17" t="inlineStr">
        <is>
          <t>Free</t>
        </is>
      </c>
      <c r="M418" s="17" t="n">
        <v>43</v>
      </c>
      <c r="N418" s="17" t="inlineStr">
        <is>
          <t>No</t>
        </is>
      </c>
    </row>
    <row r="419">
      <c r="A419" s="17" t="inlineStr">
        <is>
          <t>S00415</t>
        </is>
      </c>
      <c r="B419" s="17" t="inlineStr">
        <is>
          <t>P6369</t>
        </is>
      </c>
      <c r="C419" s="17" t="inlineStr">
        <is>
          <t>kingtroy</t>
        </is>
      </c>
      <c r="D419" s="17" t="inlineStr">
        <is>
          <t>Clash of Realms</t>
        </is>
      </c>
      <c r="E419" s="17" t="inlineStr">
        <is>
          <t>Console</t>
        </is>
      </c>
      <c r="F419" s="17" t="inlineStr">
        <is>
          <t>West</t>
        </is>
      </c>
      <c r="G419" s="17" t="inlineStr">
        <is>
          <t>2025-05-03</t>
        </is>
      </c>
      <c r="H419" s="17" t="n">
        <v>95</v>
      </c>
      <c r="I419" s="17" t="n">
        <v>35.92</v>
      </c>
      <c r="J419" s="17" t="inlineStr">
        <is>
          <t>Skins</t>
        </is>
      </c>
      <c r="K419" s="17" t="inlineStr">
        <is>
          <t>Exited Early</t>
        </is>
      </c>
      <c r="L419" s="17" t="inlineStr">
        <is>
          <t>Paid</t>
        </is>
      </c>
      <c r="M419" s="17" t="n">
        <v>6</v>
      </c>
      <c r="N419" s="17" t="inlineStr">
        <is>
          <t>No</t>
        </is>
      </c>
    </row>
    <row r="420">
      <c r="A420" s="17" t="inlineStr">
        <is>
          <t>S00416</t>
        </is>
      </c>
      <c r="B420" s="17" t="inlineStr">
        <is>
          <t>P1436</t>
        </is>
      </c>
      <c r="C420" s="17" t="inlineStr">
        <is>
          <t>coxanthony</t>
        </is>
      </c>
      <c r="D420" s="17" t="inlineStr">
        <is>
          <t>Empire Wars</t>
        </is>
      </c>
      <c r="E420" s="17" t="inlineStr">
        <is>
          <t>PC</t>
        </is>
      </c>
      <c r="F420" s="17" t="inlineStr">
        <is>
          <t>North-East</t>
        </is>
      </c>
      <c r="G420" s="17" t="inlineStr">
        <is>
          <t>2024-12-31</t>
        </is>
      </c>
      <c r="H420" s="17" t="n">
        <v>86</v>
      </c>
      <c r="I420" s="17" t="n">
        <v>0</v>
      </c>
      <c r="J420" s="17" t="n"/>
      <c r="K420" s="17" t="inlineStr">
        <is>
          <t>Incomplete</t>
        </is>
      </c>
      <c r="L420" s="17" t="inlineStr">
        <is>
          <t>Paid</t>
        </is>
      </c>
      <c r="M420" s="17" t="n">
        <v>17</v>
      </c>
      <c r="N420" s="17" t="inlineStr">
        <is>
          <t>No</t>
        </is>
      </c>
    </row>
    <row r="421">
      <c r="A421" s="17" t="inlineStr">
        <is>
          <t>S00417</t>
        </is>
      </c>
      <c r="B421" s="17" t="inlineStr">
        <is>
          <t>P5233</t>
        </is>
      </c>
      <c r="C421" s="17" t="inlineStr">
        <is>
          <t>paige96</t>
        </is>
      </c>
      <c r="D421" s="17" t="inlineStr">
        <is>
          <t>Empire Wars</t>
        </is>
      </c>
      <c r="E421" s="17" t="inlineStr">
        <is>
          <t>Console</t>
        </is>
      </c>
      <c r="F421" s="17" t="inlineStr">
        <is>
          <t>West</t>
        </is>
      </c>
      <c r="G421" s="17" t="inlineStr">
        <is>
          <t>2025-01-06</t>
        </is>
      </c>
      <c r="H421" s="17" t="n">
        <v>12</v>
      </c>
      <c r="I421" s="17" t="n">
        <v>1.44</v>
      </c>
      <c r="J421" s="17" t="inlineStr">
        <is>
          <t>Boosters</t>
        </is>
      </c>
      <c r="K421" s="17" t="inlineStr">
        <is>
          <t>Completed</t>
        </is>
      </c>
      <c r="L421" s="17" t="inlineStr">
        <is>
          <t>Paid</t>
        </is>
      </c>
      <c r="M421" s="17" t="n">
        <v>15</v>
      </c>
      <c r="N421" s="17" t="inlineStr">
        <is>
          <t>No</t>
        </is>
      </c>
    </row>
    <row r="422">
      <c r="A422" s="17" t="inlineStr">
        <is>
          <t>S00418</t>
        </is>
      </c>
      <c r="B422" s="17" t="inlineStr">
        <is>
          <t>P5382</t>
        </is>
      </c>
      <c r="C422" s="17" t="inlineStr">
        <is>
          <t>sabrina44</t>
        </is>
      </c>
      <c r="D422" s="17" t="inlineStr">
        <is>
          <t>Clash of Realms</t>
        </is>
      </c>
      <c r="E422" s="17" t="inlineStr">
        <is>
          <t>PC</t>
        </is>
      </c>
      <c r="F422" s="17" t="inlineStr">
        <is>
          <t>South</t>
        </is>
      </c>
      <c r="G422" s="17" t="inlineStr">
        <is>
          <t>2025-06-03</t>
        </is>
      </c>
      <c r="H422" s="17" t="n">
        <v>8</v>
      </c>
      <c r="I422" s="17" t="n">
        <v>2.1</v>
      </c>
      <c r="J422" s="17" t="inlineStr">
        <is>
          <t>Boosters</t>
        </is>
      </c>
      <c r="K422" s="17" t="inlineStr">
        <is>
          <t>Exited Early</t>
        </is>
      </c>
      <c r="L422" s="17" t="inlineStr">
        <is>
          <t>Paid</t>
        </is>
      </c>
      <c r="M422" s="17" t="n">
        <v>44</v>
      </c>
      <c r="N422" s="17" t="inlineStr">
        <is>
          <t>No</t>
        </is>
      </c>
    </row>
    <row r="423">
      <c r="A423" s="17" t="inlineStr">
        <is>
          <t>S00419</t>
        </is>
      </c>
      <c r="B423" s="17" t="inlineStr">
        <is>
          <t>P1065</t>
        </is>
      </c>
      <c r="C423" s="17" t="inlineStr">
        <is>
          <t>neilmorrison</t>
        </is>
      </c>
      <c r="D423" s="17" t="inlineStr">
        <is>
          <t>BattleZone</t>
        </is>
      </c>
      <c r="E423" s="17" t="inlineStr">
        <is>
          <t>Mobile</t>
        </is>
      </c>
      <c r="F423" s="17" t="inlineStr">
        <is>
          <t>Central</t>
        </is>
      </c>
      <c r="G423" s="17" t="inlineStr">
        <is>
          <t>2025-04-08</t>
        </is>
      </c>
      <c r="H423" s="17" t="n">
        <v>180</v>
      </c>
      <c r="I423" s="17" t="n">
        <v>0</v>
      </c>
      <c r="J423" s="17" t="n"/>
      <c r="K423" s="17" t="inlineStr">
        <is>
          <t>Completed</t>
        </is>
      </c>
      <c r="L423" s="17" t="inlineStr">
        <is>
          <t>Free</t>
        </is>
      </c>
      <c r="M423" s="17" t="n">
        <v>8</v>
      </c>
      <c r="N423" s="17" t="inlineStr">
        <is>
          <t>Yes</t>
        </is>
      </c>
    </row>
    <row r="424">
      <c r="A424" s="17" t="inlineStr">
        <is>
          <t>S00420</t>
        </is>
      </c>
      <c r="B424" s="17" t="inlineStr">
        <is>
          <t>P8628</t>
        </is>
      </c>
      <c r="C424" s="17" t="inlineStr">
        <is>
          <t>russochelsey</t>
        </is>
      </c>
      <c r="D424" s="17" t="inlineStr">
        <is>
          <t>Clash of Realms</t>
        </is>
      </c>
      <c r="E424" s="17" t="inlineStr">
        <is>
          <t>Mobile</t>
        </is>
      </c>
      <c r="F424" s="17" t="inlineStr">
        <is>
          <t>Central</t>
        </is>
      </c>
      <c r="G424" s="17" t="inlineStr">
        <is>
          <t>2025-05-27</t>
        </is>
      </c>
      <c r="H424" s="17" t="n">
        <v>35</v>
      </c>
      <c r="I424" s="17" t="n">
        <v>13.33</v>
      </c>
      <c r="J424" s="17" t="inlineStr">
        <is>
          <t>Skins</t>
        </is>
      </c>
      <c r="K424" s="17" t="inlineStr">
        <is>
          <t>Completed</t>
        </is>
      </c>
      <c r="L424" s="17" t="inlineStr">
        <is>
          <t>Paid</t>
        </is>
      </c>
      <c r="M424" s="17" t="n">
        <v>42</v>
      </c>
      <c r="N424" s="17" t="inlineStr">
        <is>
          <t>No</t>
        </is>
      </c>
    </row>
    <row r="425">
      <c r="A425" s="17" t="inlineStr">
        <is>
          <t>S00421</t>
        </is>
      </c>
      <c r="B425" s="17" t="inlineStr">
        <is>
          <t>P9217</t>
        </is>
      </c>
      <c r="C425" s="17" t="inlineStr">
        <is>
          <t>pwright</t>
        </is>
      </c>
      <c r="D425" s="17" t="inlineStr">
        <is>
          <t>BattleZone</t>
        </is>
      </c>
      <c r="E425" s="17" t="inlineStr">
        <is>
          <t>Console</t>
        </is>
      </c>
      <c r="F425" s="17" t="inlineStr">
        <is>
          <t>South</t>
        </is>
      </c>
      <c r="G425" s="17" t="inlineStr">
        <is>
          <t>2025-04-20</t>
        </is>
      </c>
      <c r="H425" s="17" t="n">
        <v>97</v>
      </c>
      <c r="I425" s="17" t="n">
        <v>3.6</v>
      </c>
      <c r="J425" s="17" t="inlineStr">
        <is>
          <t>Subscriptions</t>
        </is>
      </c>
      <c r="K425" s="17" t="inlineStr">
        <is>
          <t>Incomplete</t>
        </is>
      </c>
      <c r="L425" s="17" t="inlineStr">
        <is>
          <t>Paid</t>
        </is>
      </c>
      <c r="M425" s="17" t="n">
        <v>14</v>
      </c>
      <c r="N425" s="17" t="inlineStr">
        <is>
          <t>No</t>
        </is>
      </c>
    </row>
    <row r="426">
      <c r="A426" s="17" t="inlineStr">
        <is>
          <t>S00422</t>
        </is>
      </c>
      <c r="B426" s="17" t="inlineStr">
        <is>
          <t>P9334</t>
        </is>
      </c>
      <c r="C426" s="17" t="inlineStr">
        <is>
          <t>samantha20</t>
        </is>
      </c>
      <c r="D426" s="17" t="inlineStr">
        <is>
          <t>Empire Wars</t>
        </is>
      </c>
      <c r="E426" s="17" t="inlineStr">
        <is>
          <t>Mobile</t>
        </is>
      </c>
      <c r="F426" s="17" t="inlineStr">
        <is>
          <t>South</t>
        </is>
      </c>
      <c r="G426" s="17" t="inlineStr">
        <is>
          <t>2024-12-17</t>
        </is>
      </c>
      <c r="H426" s="17" t="n">
        <v>92</v>
      </c>
      <c r="I426" s="17" t="n">
        <v>0</v>
      </c>
      <c r="J426" s="17" t="n"/>
      <c r="K426" s="17" t="inlineStr">
        <is>
          <t>Completed</t>
        </is>
      </c>
      <c r="L426" s="17" t="inlineStr">
        <is>
          <t>Paid</t>
        </is>
      </c>
      <c r="M426" s="17" t="n">
        <v>31</v>
      </c>
      <c r="N426" s="17" t="inlineStr">
        <is>
          <t>No</t>
        </is>
      </c>
    </row>
    <row r="427">
      <c r="A427" s="17" t="inlineStr">
        <is>
          <t>S00423</t>
        </is>
      </c>
      <c r="B427" s="17" t="inlineStr">
        <is>
          <t>P8641</t>
        </is>
      </c>
      <c r="C427" s="17" t="inlineStr">
        <is>
          <t>johnsonandrea</t>
        </is>
      </c>
      <c r="D427" s="17" t="inlineStr">
        <is>
          <t>SpeedX</t>
        </is>
      </c>
      <c r="E427" s="17" t="inlineStr">
        <is>
          <t>Console</t>
        </is>
      </c>
      <c r="F427" s="17" t="inlineStr">
        <is>
          <t>South</t>
        </is>
      </c>
      <c r="G427" s="17" t="inlineStr">
        <is>
          <t>2025-02-12</t>
        </is>
      </c>
      <c r="H427" s="17" t="n">
        <v>166</v>
      </c>
      <c r="I427" s="17" t="n">
        <v>0</v>
      </c>
      <c r="J427" s="17" t="n"/>
      <c r="K427" s="17" t="inlineStr">
        <is>
          <t>Completed</t>
        </is>
      </c>
      <c r="L427" s="17" t="inlineStr">
        <is>
          <t>Free</t>
        </is>
      </c>
      <c r="M427" s="17" t="n">
        <v>43</v>
      </c>
      <c r="N427" s="17" t="inlineStr">
        <is>
          <t>Yes</t>
        </is>
      </c>
    </row>
    <row r="428">
      <c r="A428" s="17" t="inlineStr">
        <is>
          <t>S00424</t>
        </is>
      </c>
      <c r="B428" s="17" t="inlineStr">
        <is>
          <t>P8632</t>
        </is>
      </c>
      <c r="C428" s="17" t="inlineStr">
        <is>
          <t>nramos</t>
        </is>
      </c>
      <c r="D428" s="17" t="inlineStr">
        <is>
          <t>Zombie Rush</t>
        </is>
      </c>
      <c r="E428" s="17" t="inlineStr">
        <is>
          <t>Console</t>
        </is>
      </c>
      <c r="F428" s="17" t="inlineStr">
        <is>
          <t>South</t>
        </is>
      </c>
      <c r="G428" s="17" t="inlineStr">
        <is>
          <t>2025-01-19</t>
        </is>
      </c>
      <c r="H428" s="17" t="n">
        <v>146</v>
      </c>
      <c r="I428" s="17" t="n">
        <v>22.51</v>
      </c>
      <c r="J428" s="17" t="inlineStr">
        <is>
          <t>Battle Pass</t>
        </is>
      </c>
      <c r="K428" s="17" t="inlineStr">
        <is>
          <t>Exited Early</t>
        </is>
      </c>
      <c r="L428" s="17" t="inlineStr">
        <is>
          <t>Paid</t>
        </is>
      </c>
      <c r="M428" s="17" t="n">
        <v>25</v>
      </c>
      <c r="N428" s="17" t="inlineStr">
        <is>
          <t>No</t>
        </is>
      </c>
    </row>
    <row r="429">
      <c r="A429" s="17" t="inlineStr">
        <is>
          <t>S00425</t>
        </is>
      </c>
      <c r="B429" s="17" t="inlineStr">
        <is>
          <t>P6749</t>
        </is>
      </c>
      <c r="C429" s="17" t="inlineStr">
        <is>
          <t>pmoore</t>
        </is>
      </c>
      <c r="D429" s="17" t="inlineStr">
        <is>
          <t>BattleZone</t>
        </is>
      </c>
      <c r="E429" s="17" t="inlineStr">
        <is>
          <t>Console</t>
        </is>
      </c>
      <c r="F429" s="17" t="inlineStr">
        <is>
          <t>East</t>
        </is>
      </c>
      <c r="G429" s="17" t="inlineStr">
        <is>
          <t>2025-03-06</t>
        </is>
      </c>
      <c r="H429" s="17" t="n">
        <v>7</v>
      </c>
      <c r="I429" s="17" t="n">
        <v>29.06</v>
      </c>
      <c r="J429" s="17" t="inlineStr">
        <is>
          <t>Battle Pass</t>
        </is>
      </c>
      <c r="K429" s="17" t="inlineStr">
        <is>
          <t>Completed</t>
        </is>
      </c>
      <c r="L429" s="17" t="inlineStr">
        <is>
          <t>Paid</t>
        </is>
      </c>
      <c r="M429" s="17" t="n">
        <v>12</v>
      </c>
      <c r="N429" s="17" t="inlineStr">
        <is>
          <t>No</t>
        </is>
      </c>
    </row>
    <row r="430">
      <c r="A430" s="17" t="inlineStr">
        <is>
          <t>S00426</t>
        </is>
      </c>
      <c r="B430" s="17" t="inlineStr">
        <is>
          <t>P8176</t>
        </is>
      </c>
      <c r="C430" s="17" t="inlineStr">
        <is>
          <t>enielsen</t>
        </is>
      </c>
      <c r="D430" s="17" t="inlineStr">
        <is>
          <t>BattleZone</t>
        </is>
      </c>
      <c r="E430" s="17" t="inlineStr">
        <is>
          <t>Mobile</t>
        </is>
      </c>
      <c r="F430" s="17" t="inlineStr">
        <is>
          <t>North</t>
        </is>
      </c>
      <c r="G430" s="17" t="inlineStr">
        <is>
          <t>2025-01-12</t>
        </is>
      </c>
      <c r="H430" s="17" t="n">
        <v>79</v>
      </c>
      <c r="I430" s="17" t="n">
        <v>0</v>
      </c>
      <c r="J430" s="17" t="n"/>
      <c r="K430" s="17" t="inlineStr">
        <is>
          <t>Completed</t>
        </is>
      </c>
      <c r="L430" s="17" t="inlineStr">
        <is>
          <t>Free</t>
        </is>
      </c>
      <c r="M430" s="17" t="n">
        <v>30</v>
      </c>
      <c r="N430" s="17" t="inlineStr">
        <is>
          <t>No</t>
        </is>
      </c>
    </row>
    <row r="431">
      <c r="A431" s="17" t="inlineStr">
        <is>
          <t>S00427</t>
        </is>
      </c>
      <c r="B431" s="17" t="inlineStr">
        <is>
          <t>P9104</t>
        </is>
      </c>
      <c r="C431" s="17" t="inlineStr">
        <is>
          <t>melissa17</t>
        </is>
      </c>
      <c r="D431" s="17" t="inlineStr">
        <is>
          <t>Zombie Rush</t>
        </is>
      </c>
      <c r="E431" s="17" t="inlineStr">
        <is>
          <t>PC</t>
        </is>
      </c>
      <c r="F431" s="17" t="inlineStr">
        <is>
          <t>Central</t>
        </is>
      </c>
      <c r="G431" s="17" t="inlineStr">
        <is>
          <t>2025-02-07</t>
        </is>
      </c>
      <c r="H431" s="17" t="n">
        <v>39</v>
      </c>
      <c r="I431" s="17" t="n">
        <v>0</v>
      </c>
      <c r="J431" s="17" t="n"/>
      <c r="K431" s="17" t="inlineStr">
        <is>
          <t>Completed</t>
        </is>
      </c>
      <c r="L431" s="17" t="inlineStr">
        <is>
          <t>Free</t>
        </is>
      </c>
      <c r="M431" s="17" t="n">
        <v>12</v>
      </c>
      <c r="N431" s="17" t="inlineStr">
        <is>
          <t>No</t>
        </is>
      </c>
    </row>
    <row r="432">
      <c r="A432" s="17" t="inlineStr">
        <is>
          <t>S00428</t>
        </is>
      </c>
      <c r="B432" s="17" t="inlineStr">
        <is>
          <t>P5582</t>
        </is>
      </c>
      <c r="C432" s="17" t="inlineStr">
        <is>
          <t>jennifer94</t>
        </is>
      </c>
      <c r="D432" s="17" t="inlineStr">
        <is>
          <t>Zombie Rush</t>
        </is>
      </c>
      <c r="E432" s="17" t="inlineStr">
        <is>
          <t>Console</t>
        </is>
      </c>
      <c r="F432" s="17" t="inlineStr">
        <is>
          <t>West</t>
        </is>
      </c>
      <c r="G432" s="17" t="inlineStr">
        <is>
          <t>2024-12-19</t>
        </is>
      </c>
      <c r="H432" s="17" t="n">
        <v>9</v>
      </c>
      <c r="I432" s="17" t="n">
        <v>0</v>
      </c>
      <c r="J432" s="17" t="n"/>
      <c r="K432" s="17" t="inlineStr">
        <is>
          <t>Incomplete</t>
        </is>
      </c>
      <c r="L432" s="17" t="inlineStr">
        <is>
          <t>Free</t>
        </is>
      </c>
      <c r="M432" s="17" t="n">
        <v>23</v>
      </c>
      <c r="N432" s="17" t="inlineStr">
        <is>
          <t>No</t>
        </is>
      </c>
    </row>
    <row r="433">
      <c r="A433" s="17" t="inlineStr">
        <is>
          <t>S00429</t>
        </is>
      </c>
      <c r="B433" s="17" t="inlineStr">
        <is>
          <t>P4908</t>
        </is>
      </c>
      <c r="C433" s="17" t="inlineStr">
        <is>
          <t>twashington</t>
        </is>
      </c>
      <c r="D433" s="17" t="inlineStr">
        <is>
          <t>Empire Wars</t>
        </is>
      </c>
      <c r="E433" s="17" t="inlineStr">
        <is>
          <t>PC</t>
        </is>
      </c>
      <c r="F433" s="17" t="inlineStr">
        <is>
          <t>East</t>
        </is>
      </c>
      <c r="G433" s="17" t="inlineStr">
        <is>
          <t>2025-06-13</t>
        </is>
      </c>
      <c r="H433" s="17" t="n">
        <v>70</v>
      </c>
      <c r="I433" s="17" t="n">
        <v>11.82</v>
      </c>
      <c r="J433" s="17" t="inlineStr">
        <is>
          <t>Battle Pass</t>
        </is>
      </c>
      <c r="K433" s="17" t="inlineStr">
        <is>
          <t>Completed</t>
        </is>
      </c>
      <c r="L433" s="17" t="inlineStr">
        <is>
          <t>Paid</t>
        </is>
      </c>
      <c r="M433" s="17" t="n">
        <v>5</v>
      </c>
      <c r="N433" s="17" t="inlineStr">
        <is>
          <t>No</t>
        </is>
      </c>
    </row>
    <row r="434">
      <c r="A434" s="17" t="inlineStr">
        <is>
          <t>S00430</t>
        </is>
      </c>
      <c r="B434" s="17" t="inlineStr">
        <is>
          <t>P8542</t>
        </is>
      </c>
      <c r="C434" s="17" t="inlineStr">
        <is>
          <t>brian05</t>
        </is>
      </c>
      <c r="D434" s="17" t="inlineStr">
        <is>
          <t>Empire Wars</t>
        </is>
      </c>
      <c r="E434" s="17" t="inlineStr">
        <is>
          <t>Mobile</t>
        </is>
      </c>
      <c r="F434" s="17" t="inlineStr">
        <is>
          <t>East</t>
        </is>
      </c>
      <c r="G434" s="17" t="inlineStr">
        <is>
          <t>2025-01-27</t>
        </is>
      </c>
      <c r="H434" s="17" t="n">
        <v>156</v>
      </c>
      <c r="I434" s="17" t="n">
        <v>0</v>
      </c>
      <c r="J434" s="17" t="n"/>
      <c r="K434" s="17" t="inlineStr">
        <is>
          <t>Completed</t>
        </is>
      </c>
      <c r="L434" s="17" t="inlineStr">
        <is>
          <t>Free</t>
        </is>
      </c>
      <c r="M434" s="17" t="n">
        <v>6</v>
      </c>
      <c r="N434" s="17" t="inlineStr">
        <is>
          <t>Yes</t>
        </is>
      </c>
    </row>
    <row r="435">
      <c r="A435" s="17" t="inlineStr">
        <is>
          <t>S00431</t>
        </is>
      </c>
      <c r="B435" s="17" t="inlineStr">
        <is>
          <t>P7163</t>
        </is>
      </c>
      <c r="C435" s="17" t="inlineStr">
        <is>
          <t>emilynelson</t>
        </is>
      </c>
      <c r="D435" s="17" t="inlineStr">
        <is>
          <t>Zombie Rush</t>
        </is>
      </c>
      <c r="E435" s="17" t="inlineStr">
        <is>
          <t>Console</t>
        </is>
      </c>
      <c r="F435" s="17" t="inlineStr">
        <is>
          <t>South</t>
        </is>
      </c>
      <c r="G435" s="17" t="inlineStr">
        <is>
          <t>2024-12-15</t>
        </is>
      </c>
      <c r="H435" s="17" t="n">
        <v>159</v>
      </c>
      <c r="I435" s="17" t="n">
        <v>0</v>
      </c>
      <c r="J435" s="17" t="n"/>
      <c r="K435" s="17" t="inlineStr">
        <is>
          <t>Completed</t>
        </is>
      </c>
      <c r="L435" s="17" t="inlineStr">
        <is>
          <t>Free</t>
        </is>
      </c>
      <c r="M435" s="17" t="n">
        <v>14</v>
      </c>
      <c r="N435" s="17" t="inlineStr">
        <is>
          <t>Yes</t>
        </is>
      </c>
    </row>
    <row r="436">
      <c r="A436" s="17" t="inlineStr">
        <is>
          <t>S00432</t>
        </is>
      </c>
      <c r="B436" s="17" t="inlineStr">
        <is>
          <t>P2427</t>
        </is>
      </c>
      <c r="C436" s="17" t="inlineStr">
        <is>
          <t>kacosta</t>
        </is>
      </c>
      <c r="D436" s="17" t="inlineStr">
        <is>
          <t>Zombie Rush</t>
        </is>
      </c>
      <c r="E436" s="17" t="inlineStr">
        <is>
          <t>PC</t>
        </is>
      </c>
      <c r="F436" s="17" t="inlineStr">
        <is>
          <t>Central</t>
        </is>
      </c>
      <c r="G436" s="17" t="inlineStr">
        <is>
          <t>2025-01-23</t>
        </is>
      </c>
      <c r="H436" s="17" t="n">
        <v>139</v>
      </c>
      <c r="I436" s="17" t="n">
        <v>0</v>
      </c>
      <c r="J436" s="17" t="n"/>
      <c r="K436" s="17" t="inlineStr">
        <is>
          <t>Completed</t>
        </is>
      </c>
      <c r="L436" s="17" t="inlineStr">
        <is>
          <t>Free</t>
        </is>
      </c>
      <c r="M436" s="17" t="n">
        <v>37</v>
      </c>
      <c r="N436" s="17" t="inlineStr">
        <is>
          <t>No</t>
        </is>
      </c>
    </row>
    <row r="437">
      <c r="A437" s="17" t="inlineStr">
        <is>
          <t>S00433</t>
        </is>
      </c>
      <c r="B437" s="17" t="inlineStr">
        <is>
          <t>P1911</t>
        </is>
      </c>
      <c r="C437" s="17" t="inlineStr">
        <is>
          <t>yvette50</t>
        </is>
      </c>
      <c r="D437" s="17" t="inlineStr">
        <is>
          <t>BattleZone</t>
        </is>
      </c>
      <c r="E437" s="17" t="inlineStr">
        <is>
          <t>Mobile</t>
        </is>
      </c>
      <c r="F437" s="17" t="inlineStr">
        <is>
          <t>Central</t>
        </is>
      </c>
      <c r="G437" s="17" t="inlineStr">
        <is>
          <t>2025-05-01</t>
        </is>
      </c>
      <c r="H437" s="17" t="n">
        <v>25</v>
      </c>
      <c r="I437" s="17" t="n">
        <v>0</v>
      </c>
      <c r="J437" s="17" t="n"/>
      <c r="K437" s="17" t="inlineStr">
        <is>
          <t>Completed</t>
        </is>
      </c>
      <c r="L437" s="17" t="inlineStr">
        <is>
          <t>Paid</t>
        </is>
      </c>
      <c r="M437" s="17" t="n">
        <v>20</v>
      </c>
      <c r="N437" s="17" t="inlineStr">
        <is>
          <t>No</t>
        </is>
      </c>
    </row>
    <row r="438">
      <c r="A438" s="17" t="inlineStr">
        <is>
          <t>S00434</t>
        </is>
      </c>
      <c r="B438" s="17" t="inlineStr">
        <is>
          <t>P2246</t>
        </is>
      </c>
      <c r="C438" s="17" t="inlineStr">
        <is>
          <t>lisajames</t>
        </is>
      </c>
      <c r="D438" s="17" t="inlineStr">
        <is>
          <t>Empire Wars</t>
        </is>
      </c>
      <c r="E438" s="17" t="inlineStr">
        <is>
          <t>Mobile</t>
        </is>
      </c>
      <c r="F438" s="17" t="inlineStr">
        <is>
          <t>South</t>
        </is>
      </c>
      <c r="G438" s="17" t="inlineStr">
        <is>
          <t>2025-03-23</t>
        </is>
      </c>
      <c r="H438" s="17" t="n">
        <v>80</v>
      </c>
      <c r="I438" s="17" t="n">
        <v>0</v>
      </c>
      <c r="J438" s="17" t="n"/>
      <c r="K438" s="17" t="inlineStr">
        <is>
          <t>Incomplete</t>
        </is>
      </c>
      <c r="L438" s="17" t="inlineStr">
        <is>
          <t>Free</t>
        </is>
      </c>
      <c r="M438" s="17" t="n">
        <v>3</v>
      </c>
      <c r="N438" s="17" t="inlineStr">
        <is>
          <t>No</t>
        </is>
      </c>
    </row>
    <row r="439">
      <c r="A439" s="17" t="inlineStr">
        <is>
          <t>S00435</t>
        </is>
      </c>
      <c r="B439" s="17" t="inlineStr">
        <is>
          <t>P2996</t>
        </is>
      </c>
      <c r="C439" s="17" t="inlineStr">
        <is>
          <t>linda22</t>
        </is>
      </c>
      <c r="D439" s="17" t="inlineStr">
        <is>
          <t>Zombie Rush</t>
        </is>
      </c>
      <c r="E439" s="17" t="inlineStr">
        <is>
          <t>Console</t>
        </is>
      </c>
      <c r="F439" s="17" t="inlineStr">
        <is>
          <t>South</t>
        </is>
      </c>
      <c r="G439" s="17" t="inlineStr">
        <is>
          <t>2025-04-26</t>
        </is>
      </c>
      <c r="H439" s="17" t="n">
        <v>101</v>
      </c>
      <c r="I439" s="17" t="n">
        <v>0</v>
      </c>
      <c r="J439" s="17" t="n"/>
      <c r="K439" s="17" t="inlineStr">
        <is>
          <t>Completed</t>
        </is>
      </c>
      <c r="L439" s="17" t="inlineStr">
        <is>
          <t>Free</t>
        </is>
      </c>
      <c r="M439" s="17" t="n">
        <v>15</v>
      </c>
      <c r="N439" s="17" t="inlineStr">
        <is>
          <t>No</t>
        </is>
      </c>
    </row>
    <row r="440">
      <c r="A440" s="17" t="inlineStr">
        <is>
          <t>S00436</t>
        </is>
      </c>
      <c r="B440" s="17" t="inlineStr">
        <is>
          <t>P9175</t>
        </is>
      </c>
      <c r="C440" s="17" t="inlineStr">
        <is>
          <t>gregbaker</t>
        </is>
      </c>
      <c r="D440" s="17" t="inlineStr">
        <is>
          <t>Zombie Rush</t>
        </is>
      </c>
      <c r="E440" s="17" t="inlineStr">
        <is>
          <t>Console</t>
        </is>
      </c>
      <c r="F440" s="17" t="inlineStr">
        <is>
          <t>West</t>
        </is>
      </c>
      <c r="G440" s="17" t="inlineStr">
        <is>
          <t>2024-12-19</t>
        </is>
      </c>
      <c r="H440" s="17" t="n">
        <v>176</v>
      </c>
      <c r="I440" s="17" t="n">
        <v>0</v>
      </c>
      <c r="J440" s="17" t="n"/>
      <c r="K440" s="17" t="inlineStr">
        <is>
          <t>Completed</t>
        </is>
      </c>
      <c r="L440" s="17" t="inlineStr">
        <is>
          <t>Free</t>
        </is>
      </c>
      <c r="M440" s="17" t="n">
        <v>18</v>
      </c>
      <c r="N440" s="17" t="inlineStr">
        <is>
          <t>Yes</t>
        </is>
      </c>
    </row>
    <row r="441">
      <c r="A441" s="17" t="inlineStr">
        <is>
          <t>S00437</t>
        </is>
      </c>
      <c r="B441" s="17" t="inlineStr">
        <is>
          <t>P1726</t>
        </is>
      </c>
      <c r="C441" s="17" t="inlineStr">
        <is>
          <t>sheila89</t>
        </is>
      </c>
      <c r="D441" s="17" t="inlineStr">
        <is>
          <t>BattleZone</t>
        </is>
      </c>
      <c r="E441" s="17" t="inlineStr">
        <is>
          <t>PC</t>
        </is>
      </c>
      <c r="F441" s="17" t="inlineStr">
        <is>
          <t>Central</t>
        </is>
      </c>
      <c r="G441" s="17" t="inlineStr">
        <is>
          <t>2025-02-20</t>
        </is>
      </c>
      <c r="H441" s="17" t="n">
        <v>101</v>
      </c>
      <c r="I441" s="17" t="n">
        <v>0</v>
      </c>
      <c r="J441" s="17" t="n"/>
      <c r="K441" s="17" t="inlineStr">
        <is>
          <t>Incomplete</t>
        </is>
      </c>
      <c r="L441" s="17" t="inlineStr">
        <is>
          <t>Free</t>
        </is>
      </c>
      <c r="M441" s="17" t="n">
        <v>5</v>
      </c>
      <c r="N441" s="17" t="inlineStr">
        <is>
          <t>No</t>
        </is>
      </c>
    </row>
    <row r="442">
      <c r="A442" s="17" t="inlineStr">
        <is>
          <t>S00438</t>
        </is>
      </c>
      <c r="B442" s="17" t="inlineStr">
        <is>
          <t>P1604</t>
        </is>
      </c>
      <c r="C442" s="17" t="inlineStr">
        <is>
          <t>pweaver</t>
        </is>
      </c>
      <c r="D442" s="17" t="inlineStr">
        <is>
          <t>Clash of Realms</t>
        </is>
      </c>
      <c r="E442" s="17" t="inlineStr">
        <is>
          <t>Console</t>
        </is>
      </c>
      <c r="F442" s="17" t="inlineStr">
        <is>
          <t>North-East</t>
        </is>
      </c>
      <c r="G442" s="17" t="inlineStr">
        <is>
          <t>2025-05-20</t>
        </is>
      </c>
      <c r="H442" s="17" t="n">
        <v>147</v>
      </c>
      <c r="I442" s="17" t="n">
        <v>32.05</v>
      </c>
      <c r="J442" s="17" t="inlineStr">
        <is>
          <t>Subscriptions</t>
        </is>
      </c>
      <c r="K442" s="17" t="inlineStr">
        <is>
          <t>Incomplete</t>
        </is>
      </c>
      <c r="L442" s="17" t="inlineStr">
        <is>
          <t>Paid</t>
        </is>
      </c>
      <c r="M442" s="17" t="n">
        <v>11</v>
      </c>
      <c r="N442" s="17" t="inlineStr">
        <is>
          <t>No</t>
        </is>
      </c>
    </row>
    <row r="443">
      <c r="A443" s="17" t="inlineStr">
        <is>
          <t>S00439</t>
        </is>
      </c>
      <c r="B443" s="17" t="inlineStr">
        <is>
          <t>P4812</t>
        </is>
      </c>
      <c r="C443" s="17" t="inlineStr">
        <is>
          <t>thomas99</t>
        </is>
      </c>
      <c r="D443" s="17" t="inlineStr">
        <is>
          <t>Zombie Rush</t>
        </is>
      </c>
      <c r="E443" s="17" t="inlineStr">
        <is>
          <t>Mobile</t>
        </is>
      </c>
      <c r="F443" s="17" t="inlineStr">
        <is>
          <t>North</t>
        </is>
      </c>
      <c r="G443" s="17" t="inlineStr">
        <is>
          <t>2025-01-10</t>
        </is>
      </c>
      <c r="H443" s="17" t="n">
        <v>46</v>
      </c>
      <c r="I443" s="17" t="n">
        <v>0</v>
      </c>
      <c r="J443" s="17" t="n"/>
      <c r="K443" s="17" t="inlineStr">
        <is>
          <t>Completed</t>
        </is>
      </c>
      <c r="L443" s="17" t="inlineStr">
        <is>
          <t>Free</t>
        </is>
      </c>
      <c r="M443" s="17" t="n">
        <v>4</v>
      </c>
      <c r="N443" s="17" t="inlineStr">
        <is>
          <t>No</t>
        </is>
      </c>
    </row>
    <row r="444">
      <c r="A444" s="17" t="inlineStr">
        <is>
          <t>S00440</t>
        </is>
      </c>
      <c r="B444" s="17" t="inlineStr">
        <is>
          <t>P5667</t>
        </is>
      </c>
      <c r="C444" s="17" t="inlineStr">
        <is>
          <t>victoria39</t>
        </is>
      </c>
      <c r="D444" s="17" t="inlineStr">
        <is>
          <t>Clash of Realms</t>
        </is>
      </c>
      <c r="E444" s="17" t="inlineStr">
        <is>
          <t>PC</t>
        </is>
      </c>
      <c r="F444" s="17" t="inlineStr">
        <is>
          <t>West</t>
        </is>
      </c>
      <c r="G444" s="17" t="inlineStr">
        <is>
          <t>2025-06-02</t>
        </is>
      </c>
      <c r="H444" s="17" t="n">
        <v>33</v>
      </c>
      <c r="I444" s="17" t="n">
        <v>0</v>
      </c>
      <c r="J444" s="17" t="n"/>
      <c r="K444" s="17" t="inlineStr">
        <is>
          <t>Exited Early</t>
        </is>
      </c>
      <c r="L444" s="17" t="inlineStr">
        <is>
          <t>Free</t>
        </is>
      </c>
      <c r="M444" s="17" t="n">
        <v>20</v>
      </c>
      <c r="N444" s="17" t="inlineStr">
        <is>
          <t>No</t>
        </is>
      </c>
    </row>
    <row r="445">
      <c r="A445" s="17" t="inlineStr">
        <is>
          <t>S00441</t>
        </is>
      </c>
      <c r="B445" s="17" t="inlineStr">
        <is>
          <t>P4138</t>
        </is>
      </c>
      <c r="C445" s="17" t="inlineStr">
        <is>
          <t>ecooley</t>
        </is>
      </c>
      <c r="D445" s="17" t="inlineStr">
        <is>
          <t>BattleZone</t>
        </is>
      </c>
      <c r="E445" s="17" t="inlineStr">
        <is>
          <t>Mobile</t>
        </is>
      </c>
      <c r="F445" s="17" t="inlineStr">
        <is>
          <t>East</t>
        </is>
      </c>
      <c r="G445" s="17" t="inlineStr">
        <is>
          <t>2025-02-25</t>
        </is>
      </c>
      <c r="H445" s="17" t="n">
        <v>150</v>
      </c>
      <c r="I445" s="17" t="n">
        <v>0</v>
      </c>
      <c r="J445" s="17" t="n"/>
      <c r="K445" s="17" t="inlineStr">
        <is>
          <t>Completed</t>
        </is>
      </c>
      <c r="L445" s="17" t="inlineStr">
        <is>
          <t>Free</t>
        </is>
      </c>
      <c r="M445" s="17" t="n">
        <v>46</v>
      </c>
      <c r="N445" s="17" t="inlineStr">
        <is>
          <t>No</t>
        </is>
      </c>
    </row>
    <row r="446">
      <c r="A446" s="17" t="inlineStr">
        <is>
          <t>S00442</t>
        </is>
      </c>
      <c r="B446" s="17" t="inlineStr">
        <is>
          <t>P9949</t>
        </is>
      </c>
      <c r="C446" s="17" t="inlineStr">
        <is>
          <t>brenda52</t>
        </is>
      </c>
      <c r="D446" s="17" t="inlineStr">
        <is>
          <t>BattleZone</t>
        </is>
      </c>
      <c r="E446" s="17" t="inlineStr">
        <is>
          <t>Console</t>
        </is>
      </c>
      <c r="F446" s="17" t="inlineStr">
        <is>
          <t>North-East</t>
        </is>
      </c>
      <c r="G446" s="17" t="inlineStr">
        <is>
          <t>2025-05-16</t>
        </is>
      </c>
      <c r="H446" s="17" t="n">
        <v>166</v>
      </c>
      <c r="I446" s="17" t="n">
        <v>0</v>
      </c>
      <c r="J446" s="17" t="n"/>
      <c r="K446" s="17" t="inlineStr">
        <is>
          <t>Completed</t>
        </is>
      </c>
      <c r="L446" s="17" t="inlineStr">
        <is>
          <t>Free</t>
        </is>
      </c>
      <c r="M446" s="17" t="n">
        <v>27</v>
      </c>
      <c r="N446" s="17" t="inlineStr">
        <is>
          <t>Yes</t>
        </is>
      </c>
    </row>
    <row r="447">
      <c r="A447" s="17" t="inlineStr">
        <is>
          <t>S00443</t>
        </is>
      </c>
      <c r="B447" s="17" t="inlineStr">
        <is>
          <t>P9493</t>
        </is>
      </c>
      <c r="C447" s="17" t="inlineStr">
        <is>
          <t>zmendoza</t>
        </is>
      </c>
      <c r="D447" s="17" t="inlineStr">
        <is>
          <t>Clash of Realms</t>
        </is>
      </c>
      <c r="E447" s="17" t="inlineStr">
        <is>
          <t>Mobile</t>
        </is>
      </c>
      <c r="F447" s="17" t="inlineStr">
        <is>
          <t>North-East</t>
        </is>
      </c>
      <c r="G447" s="17" t="inlineStr">
        <is>
          <t>2025-01-21</t>
        </is>
      </c>
      <c r="H447" s="17" t="n">
        <v>96</v>
      </c>
      <c r="I447" s="17" t="n">
        <v>0</v>
      </c>
      <c r="J447" s="17" t="n"/>
      <c r="K447" s="17" t="inlineStr">
        <is>
          <t>Completed</t>
        </is>
      </c>
      <c r="L447" s="17" t="inlineStr">
        <is>
          <t>Paid</t>
        </is>
      </c>
      <c r="M447" s="17" t="n">
        <v>38</v>
      </c>
      <c r="N447" s="17" t="inlineStr">
        <is>
          <t>No</t>
        </is>
      </c>
    </row>
    <row r="448">
      <c r="A448" s="17" t="inlineStr">
        <is>
          <t>S00444</t>
        </is>
      </c>
      <c r="B448" s="17" t="inlineStr">
        <is>
          <t>P8787</t>
        </is>
      </c>
      <c r="C448" s="17" t="inlineStr">
        <is>
          <t>jamesbarber</t>
        </is>
      </c>
      <c r="D448" s="17" t="inlineStr">
        <is>
          <t>SpeedX</t>
        </is>
      </c>
      <c r="E448" s="17" t="inlineStr">
        <is>
          <t>Console</t>
        </is>
      </c>
      <c r="F448" s="17" t="inlineStr">
        <is>
          <t>South</t>
        </is>
      </c>
      <c r="G448" s="17" t="inlineStr">
        <is>
          <t>2025-05-18</t>
        </is>
      </c>
      <c r="H448" s="17" t="n">
        <v>51</v>
      </c>
      <c r="I448" s="17" t="n">
        <v>0</v>
      </c>
      <c r="J448" s="17" t="n"/>
      <c r="K448" s="17" t="inlineStr">
        <is>
          <t>Completed</t>
        </is>
      </c>
      <c r="L448" s="17" t="inlineStr">
        <is>
          <t>Free</t>
        </is>
      </c>
      <c r="M448" s="17" t="n">
        <v>9</v>
      </c>
      <c r="N448" s="17" t="inlineStr">
        <is>
          <t>No</t>
        </is>
      </c>
    </row>
    <row r="449">
      <c r="A449" s="17" t="inlineStr">
        <is>
          <t>S00445</t>
        </is>
      </c>
      <c r="B449" s="17" t="inlineStr">
        <is>
          <t>P6434</t>
        </is>
      </c>
      <c r="C449" s="17" t="inlineStr">
        <is>
          <t>caitlinmiller</t>
        </is>
      </c>
      <c r="D449" s="17" t="inlineStr">
        <is>
          <t>Clash of Realms</t>
        </is>
      </c>
      <c r="E449" s="17" t="inlineStr">
        <is>
          <t>Console</t>
        </is>
      </c>
      <c r="F449" s="17" t="inlineStr">
        <is>
          <t>West</t>
        </is>
      </c>
      <c r="G449" s="17" t="inlineStr">
        <is>
          <t>2024-12-26</t>
        </is>
      </c>
      <c r="H449" s="17" t="n">
        <v>96</v>
      </c>
      <c r="I449" s="17" t="n">
        <v>0</v>
      </c>
      <c r="J449" s="17" t="n"/>
      <c r="K449" s="17" t="inlineStr">
        <is>
          <t>Completed</t>
        </is>
      </c>
      <c r="L449" s="17" t="inlineStr">
        <is>
          <t>Free</t>
        </is>
      </c>
      <c r="M449" s="17" t="n">
        <v>49</v>
      </c>
      <c r="N449" s="17" t="inlineStr">
        <is>
          <t>No</t>
        </is>
      </c>
    </row>
    <row r="450">
      <c r="A450" s="17" t="inlineStr">
        <is>
          <t>S00446</t>
        </is>
      </c>
      <c r="B450" s="17" t="inlineStr">
        <is>
          <t>P7453</t>
        </is>
      </c>
      <c r="C450" s="17" t="inlineStr">
        <is>
          <t>davidhunt</t>
        </is>
      </c>
      <c r="D450" s="17" t="inlineStr">
        <is>
          <t>BattleZone</t>
        </is>
      </c>
      <c r="E450" s="17" t="inlineStr">
        <is>
          <t>Console</t>
        </is>
      </c>
      <c r="F450" s="17" t="inlineStr">
        <is>
          <t>West</t>
        </is>
      </c>
      <c r="G450" s="17" t="inlineStr">
        <is>
          <t>2025-05-10</t>
        </is>
      </c>
      <c r="H450" s="17" t="n">
        <v>114</v>
      </c>
      <c r="I450" s="17" t="n">
        <v>0</v>
      </c>
      <c r="J450" s="17" t="n"/>
      <c r="K450" s="17" t="inlineStr">
        <is>
          <t>Incomplete</t>
        </is>
      </c>
      <c r="L450" s="17" t="inlineStr">
        <is>
          <t>Free</t>
        </is>
      </c>
      <c r="M450" s="17" t="n">
        <v>22</v>
      </c>
      <c r="N450" s="17" t="inlineStr">
        <is>
          <t>No</t>
        </is>
      </c>
    </row>
    <row r="451">
      <c r="A451" s="17" t="inlineStr">
        <is>
          <t>S00447</t>
        </is>
      </c>
      <c r="B451" s="17" t="inlineStr">
        <is>
          <t>P1920</t>
        </is>
      </c>
      <c r="C451" s="17" t="inlineStr">
        <is>
          <t>fsteele</t>
        </is>
      </c>
      <c r="D451" s="17" t="inlineStr">
        <is>
          <t>Empire Wars</t>
        </is>
      </c>
      <c r="E451" s="17" t="inlineStr">
        <is>
          <t>Mobile</t>
        </is>
      </c>
      <c r="F451" s="17" t="inlineStr">
        <is>
          <t>Central</t>
        </is>
      </c>
      <c r="G451" s="17" t="inlineStr">
        <is>
          <t>2024-12-28</t>
        </is>
      </c>
      <c r="H451" s="17" t="n">
        <v>133</v>
      </c>
      <c r="I451" s="17" t="n">
        <v>0</v>
      </c>
      <c r="J451" s="17" t="n"/>
      <c r="K451" s="17" t="inlineStr">
        <is>
          <t>Exited Early</t>
        </is>
      </c>
      <c r="L451" s="17" t="inlineStr">
        <is>
          <t>Free</t>
        </is>
      </c>
      <c r="M451" s="17" t="n">
        <v>10</v>
      </c>
      <c r="N451" s="17" t="inlineStr">
        <is>
          <t>No</t>
        </is>
      </c>
    </row>
    <row r="452">
      <c r="A452" s="17" t="inlineStr">
        <is>
          <t>S00448</t>
        </is>
      </c>
      <c r="B452" s="17" t="inlineStr">
        <is>
          <t>P1344</t>
        </is>
      </c>
      <c r="C452" s="17" t="inlineStr">
        <is>
          <t>keithunderwood</t>
        </is>
      </c>
      <c r="D452" s="17" t="inlineStr">
        <is>
          <t>Zombie Rush</t>
        </is>
      </c>
      <c r="E452" s="17" t="inlineStr">
        <is>
          <t>Console</t>
        </is>
      </c>
      <c r="F452" s="17" t="inlineStr">
        <is>
          <t>North</t>
        </is>
      </c>
      <c r="G452" s="17" t="inlineStr">
        <is>
          <t>2025-04-08</t>
        </is>
      </c>
      <c r="H452" s="17" t="n">
        <v>104</v>
      </c>
      <c r="I452" s="17" t="n">
        <v>9.94</v>
      </c>
      <c r="J452" s="17" t="inlineStr">
        <is>
          <t>Subscriptions</t>
        </is>
      </c>
      <c r="K452" s="17" t="inlineStr">
        <is>
          <t>Exited Early</t>
        </is>
      </c>
      <c r="L452" s="17" t="inlineStr">
        <is>
          <t>Paid</t>
        </is>
      </c>
      <c r="M452" s="17" t="n">
        <v>21</v>
      </c>
      <c r="N452" s="17" t="inlineStr">
        <is>
          <t>No</t>
        </is>
      </c>
    </row>
    <row r="453">
      <c r="A453" s="17" t="inlineStr">
        <is>
          <t>S00449</t>
        </is>
      </c>
      <c r="B453" s="17" t="inlineStr">
        <is>
          <t>P5705</t>
        </is>
      </c>
      <c r="C453" s="17" t="inlineStr">
        <is>
          <t>hernandezcatherine</t>
        </is>
      </c>
      <c r="D453" s="17" t="inlineStr">
        <is>
          <t>BattleZone</t>
        </is>
      </c>
      <c r="E453" s="17" t="inlineStr">
        <is>
          <t>Console</t>
        </is>
      </c>
      <c r="F453" s="17" t="inlineStr">
        <is>
          <t>North</t>
        </is>
      </c>
      <c r="G453" s="17" t="inlineStr">
        <is>
          <t>2025-04-11</t>
        </is>
      </c>
      <c r="H453" s="17" t="n">
        <v>108</v>
      </c>
      <c r="I453" s="17" t="n">
        <v>0</v>
      </c>
      <c r="J453" s="17" t="n"/>
      <c r="K453" s="17" t="inlineStr">
        <is>
          <t>Crashed</t>
        </is>
      </c>
      <c r="L453" s="17" t="inlineStr">
        <is>
          <t>Free</t>
        </is>
      </c>
      <c r="M453" s="17" t="n">
        <v>22</v>
      </c>
      <c r="N453" s="17" t="inlineStr">
        <is>
          <t>No</t>
        </is>
      </c>
    </row>
    <row r="454">
      <c r="A454" s="17" t="inlineStr">
        <is>
          <t>S00450</t>
        </is>
      </c>
      <c r="B454" s="17" t="inlineStr">
        <is>
          <t>P3198</t>
        </is>
      </c>
      <c r="C454" s="17" t="inlineStr">
        <is>
          <t>bherrera</t>
        </is>
      </c>
      <c r="D454" s="17" t="inlineStr">
        <is>
          <t>Zombie Rush</t>
        </is>
      </c>
      <c r="E454" s="17" t="inlineStr">
        <is>
          <t>Mobile</t>
        </is>
      </c>
      <c r="F454" s="17" t="inlineStr">
        <is>
          <t>East</t>
        </is>
      </c>
      <c r="G454" s="17" t="inlineStr">
        <is>
          <t>2025-03-08</t>
        </is>
      </c>
      <c r="H454" s="17" t="n">
        <v>63</v>
      </c>
      <c r="I454" s="17" t="n">
        <v>0</v>
      </c>
      <c r="J454" s="17" t="n"/>
      <c r="K454" s="17" t="inlineStr">
        <is>
          <t>Completed</t>
        </is>
      </c>
      <c r="L454" s="17" t="inlineStr">
        <is>
          <t>Free</t>
        </is>
      </c>
      <c r="M454" s="17" t="n">
        <v>25</v>
      </c>
      <c r="N454" s="17" t="inlineStr">
        <is>
          <t>No</t>
        </is>
      </c>
    </row>
    <row r="455">
      <c r="A455" s="17" t="inlineStr">
        <is>
          <t>S00451</t>
        </is>
      </c>
      <c r="B455" s="17" t="inlineStr">
        <is>
          <t>P5894</t>
        </is>
      </c>
      <c r="C455" s="17" t="inlineStr">
        <is>
          <t>chendavid</t>
        </is>
      </c>
      <c r="D455" s="17" t="inlineStr">
        <is>
          <t>Empire Wars</t>
        </is>
      </c>
      <c r="E455" s="17" t="inlineStr">
        <is>
          <t>Mobile</t>
        </is>
      </c>
      <c r="F455" s="17" t="inlineStr">
        <is>
          <t>North</t>
        </is>
      </c>
      <c r="G455" s="17" t="inlineStr">
        <is>
          <t>2025-01-03</t>
        </is>
      </c>
      <c r="H455" s="17" t="n">
        <v>33</v>
      </c>
      <c r="I455" s="17" t="n">
        <v>0</v>
      </c>
      <c r="J455" s="17" t="n"/>
      <c r="K455" s="17" t="inlineStr">
        <is>
          <t>Completed</t>
        </is>
      </c>
      <c r="L455" s="17" t="inlineStr">
        <is>
          <t>Free</t>
        </is>
      </c>
      <c r="M455" s="17" t="n">
        <v>32</v>
      </c>
      <c r="N455" s="17" t="inlineStr">
        <is>
          <t>No</t>
        </is>
      </c>
    </row>
    <row r="456">
      <c r="A456" s="17" t="inlineStr">
        <is>
          <t>S00452</t>
        </is>
      </c>
      <c r="B456" s="17" t="inlineStr">
        <is>
          <t>P9365</t>
        </is>
      </c>
      <c r="C456" s="17" t="inlineStr">
        <is>
          <t>rware</t>
        </is>
      </c>
      <c r="D456" s="17" t="inlineStr">
        <is>
          <t>SpeedX</t>
        </is>
      </c>
      <c r="E456" s="17" t="inlineStr">
        <is>
          <t>Mobile</t>
        </is>
      </c>
      <c r="F456" s="17" t="inlineStr">
        <is>
          <t>North-East</t>
        </is>
      </c>
      <c r="G456" s="17" t="inlineStr">
        <is>
          <t>2025-05-14</t>
        </is>
      </c>
      <c r="H456" s="17" t="n">
        <v>39</v>
      </c>
      <c r="I456" s="17" t="n">
        <v>0</v>
      </c>
      <c r="J456" s="17" t="n"/>
      <c r="K456" s="17" t="inlineStr">
        <is>
          <t>Completed</t>
        </is>
      </c>
      <c r="L456" s="17" t="inlineStr">
        <is>
          <t>Free</t>
        </is>
      </c>
      <c r="M456" s="17" t="n">
        <v>42</v>
      </c>
      <c r="N456" s="17" t="inlineStr">
        <is>
          <t>No</t>
        </is>
      </c>
    </row>
    <row r="457">
      <c r="A457" s="17" t="inlineStr">
        <is>
          <t>S00453</t>
        </is>
      </c>
      <c r="B457" s="17" t="inlineStr">
        <is>
          <t>P7874</t>
        </is>
      </c>
      <c r="C457" s="17" t="inlineStr">
        <is>
          <t>gloriajohnson</t>
        </is>
      </c>
      <c r="D457" s="17" t="inlineStr">
        <is>
          <t>Empire Wars</t>
        </is>
      </c>
      <c r="E457" s="17" t="inlineStr">
        <is>
          <t>PC</t>
        </is>
      </c>
      <c r="F457" s="17" t="inlineStr">
        <is>
          <t>West</t>
        </is>
      </c>
      <c r="G457" s="17" t="inlineStr">
        <is>
          <t>2025-02-26</t>
        </is>
      </c>
      <c r="H457" s="17" t="n">
        <v>11</v>
      </c>
      <c r="I457" s="17" t="n">
        <v>0</v>
      </c>
      <c r="J457" s="17" t="n"/>
      <c r="K457" s="17" t="inlineStr">
        <is>
          <t>Exited Early</t>
        </is>
      </c>
      <c r="L457" s="17" t="inlineStr">
        <is>
          <t>Free</t>
        </is>
      </c>
      <c r="M457" s="17" t="n">
        <v>12</v>
      </c>
      <c r="N457" s="17" t="inlineStr">
        <is>
          <t>No</t>
        </is>
      </c>
    </row>
    <row r="458">
      <c r="A458" s="17" t="inlineStr">
        <is>
          <t>S00454</t>
        </is>
      </c>
      <c r="B458" s="17" t="inlineStr">
        <is>
          <t>P4547</t>
        </is>
      </c>
      <c r="C458" s="17" t="inlineStr">
        <is>
          <t>allenvictor</t>
        </is>
      </c>
      <c r="D458" s="17" t="inlineStr">
        <is>
          <t>SpeedX</t>
        </is>
      </c>
      <c r="E458" s="17" t="inlineStr">
        <is>
          <t>Mobile</t>
        </is>
      </c>
      <c r="F458" s="17" t="inlineStr">
        <is>
          <t>North</t>
        </is>
      </c>
      <c r="G458" s="17" t="inlineStr">
        <is>
          <t>2025-02-20</t>
        </is>
      </c>
      <c r="H458" s="17" t="n">
        <v>142</v>
      </c>
      <c r="I458" s="17" t="n">
        <v>0</v>
      </c>
      <c r="J458" s="17" t="n"/>
      <c r="K458" s="17" t="inlineStr">
        <is>
          <t>Completed</t>
        </is>
      </c>
      <c r="L458" s="17" t="inlineStr">
        <is>
          <t>Free</t>
        </is>
      </c>
      <c r="M458" s="17" t="n">
        <v>32</v>
      </c>
      <c r="N458" s="17" t="inlineStr">
        <is>
          <t>No</t>
        </is>
      </c>
    </row>
    <row r="459">
      <c r="A459" s="17" t="inlineStr">
        <is>
          <t>S00455</t>
        </is>
      </c>
      <c r="B459" s="17" t="inlineStr">
        <is>
          <t>P4283</t>
        </is>
      </c>
      <c r="C459" s="17" t="inlineStr">
        <is>
          <t>sheiladavis</t>
        </is>
      </c>
      <c r="D459" s="17" t="inlineStr">
        <is>
          <t>Clash of Realms</t>
        </is>
      </c>
      <c r="E459" s="17" t="inlineStr">
        <is>
          <t>PC</t>
        </is>
      </c>
      <c r="F459" s="17" t="inlineStr">
        <is>
          <t>Central</t>
        </is>
      </c>
      <c r="G459" s="17" t="inlineStr">
        <is>
          <t>2025-01-12</t>
        </is>
      </c>
      <c r="H459" s="17" t="n">
        <v>123</v>
      </c>
      <c r="I459" s="17" t="n">
        <v>22.4</v>
      </c>
      <c r="J459" s="17" t="inlineStr">
        <is>
          <t>Skins</t>
        </is>
      </c>
      <c r="K459" s="17" t="inlineStr">
        <is>
          <t>Completed</t>
        </is>
      </c>
      <c r="L459" s="17" t="inlineStr">
        <is>
          <t>Paid</t>
        </is>
      </c>
      <c r="M459" s="17" t="n">
        <v>33</v>
      </c>
      <c r="N459" s="17" t="inlineStr">
        <is>
          <t>No</t>
        </is>
      </c>
    </row>
    <row r="460">
      <c r="A460" s="17" t="inlineStr">
        <is>
          <t>S00456</t>
        </is>
      </c>
      <c r="B460" s="17" t="inlineStr">
        <is>
          <t>P8176</t>
        </is>
      </c>
      <c r="C460" s="17" t="inlineStr">
        <is>
          <t>tgill</t>
        </is>
      </c>
      <c r="D460" s="17" t="inlineStr">
        <is>
          <t>BattleZone</t>
        </is>
      </c>
      <c r="E460" s="17" t="inlineStr">
        <is>
          <t>Console</t>
        </is>
      </c>
      <c r="F460" s="17" t="inlineStr">
        <is>
          <t>South</t>
        </is>
      </c>
      <c r="G460" s="17" t="inlineStr">
        <is>
          <t>2025-03-19</t>
        </is>
      </c>
      <c r="H460" s="17" t="n">
        <v>132</v>
      </c>
      <c r="I460" s="17" t="n">
        <v>28.89</v>
      </c>
      <c r="J460" s="17" t="inlineStr">
        <is>
          <t>Battle Pass</t>
        </is>
      </c>
      <c r="K460" s="17" t="inlineStr">
        <is>
          <t>Completed</t>
        </is>
      </c>
      <c r="L460" s="17" t="inlineStr">
        <is>
          <t>Paid</t>
        </is>
      </c>
      <c r="M460" s="17" t="n">
        <v>26</v>
      </c>
      <c r="N460" s="17" t="inlineStr">
        <is>
          <t>No</t>
        </is>
      </c>
    </row>
    <row r="461">
      <c r="A461" s="17" t="inlineStr">
        <is>
          <t>S00457</t>
        </is>
      </c>
      <c r="B461" s="17" t="inlineStr">
        <is>
          <t>P5820</t>
        </is>
      </c>
      <c r="C461" s="17" t="inlineStr">
        <is>
          <t>lindagalloway</t>
        </is>
      </c>
      <c r="D461" s="17" t="inlineStr">
        <is>
          <t>Empire Wars</t>
        </is>
      </c>
      <c r="E461" s="17" t="inlineStr">
        <is>
          <t>Mobile</t>
        </is>
      </c>
      <c r="F461" s="17" t="inlineStr">
        <is>
          <t>North-East</t>
        </is>
      </c>
      <c r="G461" s="17" t="inlineStr">
        <is>
          <t>2024-12-29</t>
        </is>
      </c>
      <c r="H461" s="17" t="n">
        <v>113</v>
      </c>
      <c r="I461" s="17" t="n">
        <v>0</v>
      </c>
      <c r="J461" s="17" t="n"/>
      <c r="K461" s="17" t="inlineStr">
        <is>
          <t>Completed</t>
        </is>
      </c>
      <c r="L461" s="17" t="inlineStr">
        <is>
          <t>Free</t>
        </is>
      </c>
      <c r="M461" s="17" t="n">
        <v>17</v>
      </c>
      <c r="N461" s="17" t="inlineStr">
        <is>
          <t>No</t>
        </is>
      </c>
    </row>
    <row r="462">
      <c r="A462" s="17" t="inlineStr">
        <is>
          <t>S00458</t>
        </is>
      </c>
      <c r="B462" s="17" t="inlineStr">
        <is>
          <t>P8552</t>
        </is>
      </c>
      <c r="C462" s="17" t="inlineStr">
        <is>
          <t>jbriggs</t>
        </is>
      </c>
      <c r="D462" s="17" t="inlineStr">
        <is>
          <t>Clash of Realms</t>
        </is>
      </c>
      <c r="E462" s="17" t="inlineStr">
        <is>
          <t>Console</t>
        </is>
      </c>
      <c r="F462" s="17" t="inlineStr">
        <is>
          <t>South</t>
        </is>
      </c>
      <c r="G462" s="17" t="inlineStr">
        <is>
          <t>2025-01-09</t>
        </is>
      </c>
      <c r="H462" s="17" t="n">
        <v>92</v>
      </c>
      <c r="I462" s="17" t="n">
        <v>0</v>
      </c>
      <c r="J462" s="17" t="n"/>
      <c r="K462" s="17" t="inlineStr">
        <is>
          <t>Completed</t>
        </is>
      </c>
      <c r="L462" s="17" t="inlineStr">
        <is>
          <t>Free</t>
        </is>
      </c>
      <c r="M462" s="17" t="n">
        <v>33</v>
      </c>
      <c r="N462" s="17" t="inlineStr">
        <is>
          <t>No</t>
        </is>
      </c>
    </row>
    <row r="463">
      <c r="A463" s="17" t="inlineStr">
        <is>
          <t>S00459</t>
        </is>
      </c>
      <c r="B463" s="17" t="inlineStr">
        <is>
          <t>P5695</t>
        </is>
      </c>
      <c r="C463" s="17" t="inlineStr">
        <is>
          <t>danielleonard</t>
        </is>
      </c>
      <c r="D463" s="17" t="inlineStr">
        <is>
          <t>Clash of Realms</t>
        </is>
      </c>
      <c r="E463" s="17" t="inlineStr">
        <is>
          <t>Console</t>
        </is>
      </c>
      <c r="F463" s="17" t="inlineStr">
        <is>
          <t>Central</t>
        </is>
      </c>
      <c r="G463" s="17" t="inlineStr">
        <is>
          <t>2024-12-28</t>
        </is>
      </c>
      <c r="H463" s="17" t="n">
        <v>44</v>
      </c>
      <c r="I463" s="17" t="n">
        <v>0</v>
      </c>
      <c r="J463" s="17" t="n"/>
      <c r="K463" s="17" t="inlineStr">
        <is>
          <t>Completed</t>
        </is>
      </c>
      <c r="L463" s="17" t="inlineStr">
        <is>
          <t>Free</t>
        </is>
      </c>
      <c r="M463" s="17" t="n">
        <v>21</v>
      </c>
      <c r="N463" s="17" t="inlineStr">
        <is>
          <t>No</t>
        </is>
      </c>
    </row>
    <row r="464">
      <c r="A464" s="17" t="inlineStr">
        <is>
          <t>S00460</t>
        </is>
      </c>
      <c r="B464" s="17" t="inlineStr">
        <is>
          <t>P6581</t>
        </is>
      </c>
      <c r="C464" s="17" t="inlineStr">
        <is>
          <t>ramirezandrea</t>
        </is>
      </c>
      <c r="D464" s="17" t="inlineStr">
        <is>
          <t>SpeedX</t>
        </is>
      </c>
      <c r="E464" s="17" t="inlineStr">
        <is>
          <t>Mobile</t>
        </is>
      </c>
      <c r="F464" s="17" t="inlineStr">
        <is>
          <t>West</t>
        </is>
      </c>
      <c r="G464" s="17" t="inlineStr">
        <is>
          <t>2025-03-06</t>
        </is>
      </c>
      <c r="H464" s="17" t="n">
        <v>17</v>
      </c>
      <c r="I464" s="17" t="n">
        <v>0</v>
      </c>
      <c r="J464" s="17" t="n"/>
      <c r="K464" s="17" t="inlineStr">
        <is>
          <t>Completed</t>
        </is>
      </c>
      <c r="L464" s="17" t="inlineStr">
        <is>
          <t>Free</t>
        </is>
      </c>
      <c r="M464" s="17" t="n">
        <v>1</v>
      </c>
      <c r="N464" s="17" t="inlineStr">
        <is>
          <t>No</t>
        </is>
      </c>
    </row>
    <row r="465">
      <c r="A465" s="17" t="inlineStr">
        <is>
          <t>S00461</t>
        </is>
      </c>
      <c r="B465" s="17" t="inlineStr">
        <is>
          <t>P4636</t>
        </is>
      </c>
      <c r="C465" s="17" t="inlineStr">
        <is>
          <t>jeffreyjohnson</t>
        </is>
      </c>
      <c r="D465" s="17" t="inlineStr">
        <is>
          <t>SpeedX</t>
        </is>
      </c>
      <c r="E465" s="17" t="inlineStr">
        <is>
          <t>PC</t>
        </is>
      </c>
      <c r="F465" s="17" t="inlineStr">
        <is>
          <t>East</t>
        </is>
      </c>
      <c r="G465" s="17" t="inlineStr">
        <is>
          <t>2025-02-02</t>
        </is>
      </c>
      <c r="H465" s="17" t="n">
        <v>52</v>
      </c>
      <c r="I465" s="17" t="n">
        <v>0</v>
      </c>
      <c r="J465" s="17" t="n"/>
      <c r="K465" s="17" t="inlineStr">
        <is>
          <t>Exited Early</t>
        </is>
      </c>
      <c r="L465" s="17" t="inlineStr">
        <is>
          <t>Free</t>
        </is>
      </c>
      <c r="M465" s="17" t="n">
        <v>19</v>
      </c>
      <c r="N465" s="17" t="inlineStr">
        <is>
          <t>No</t>
        </is>
      </c>
    </row>
    <row r="466">
      <c r="A466" s="17" t="inlineStr">
        <is>
          <t>S00462</t>
        </is>
      </c>
      <c r="B466" s="17" t="inlineStr">
        <is>
          <t>P2853</t>
        </is>
      </c>
      <c r="C466" s="17" t="inlineStr">
        <is>
          <t>dannyforbes</t>
        </is>
      </c>
      <c r="D466" s="17" t="inlineStr">
        <is>
          <t>Empire Wars</t>
        </is>
      </c>
      <c r="E466" s="17" t="inlineStr">
        <is>
          <t>Mobile</t>
        </is>
      </c>
      <c r="F466" s="17" t="inlineStr">
        <is>
          <t>West</t>
        </is>
      </c>
      <c r="G466" s="17" t="inlineStr">
        <is>
          <t>2025-01-19</t>
        </is>
      </c>
      <c r="H466" s="17" t="n">
        <v>51</v>
      </c>
      <c r="I466" s="17" t="n">
        <v>20.97</v>
      </c>
      <c r="J466" s="17" t="inlineStr">
        <is>
          <t>Skins</t>
        </is>
      </c>
      <c r="K466" s="17" t="inlineStr">
        <is>
          <t>Completed</t>
        </is>
      </c>
      <c r="L466" s="17" t="inlineStr">
        <is>
          <t>Paid</t>
        </is>
      </c>
      <c r="M466" s="17" t="n">
        <v>31</v>
      </c>
      <c r="N466" s="17" t="inlineStr">
        <is>
          <t>No</t>
        </is>
      </c>
    </row>
    <row r="467">
      <c r="A467" s="17" t="inlineStr">
        <is>
          <t>S00463</t>
        </is>
      </c>
      <c r="B467" s="17" t="inlineStr">
        <is>
          <t>P3252</t>
        </is>
      </c>
      <c r="C467" s="17" t="inlineStr">
        <is>
          <t>wallacedebra</t>
        </is>
      </c>
      <c r="D467" s="17" t="inlineStr">
        <is>
          <t>BattleZone</t>
        </is>
      </c>
      <c r="E467" s="17" t="inlineStr">
        <is>
          <t>PC</t>
        </is>
      </c>
      <c r="F467" s="17" t="inlineStr">
        <is>
          <t>North</t>
        </is>
      </c>
      <c r="G467" s="17" t="inlineStr">
        <is>
          <t>2025-02-06</t>
        </is>
      </c>
      <c r="H467" s="17" t="n">
        <v>94</v>
      </c>
      <c r="I467" s="17" t="n">
        <v>0</v>
      </c>
      <c r="J467" s="17" t="n"/>
      <c r="K467" s="17" t="inlineStr">
        <is>
          <t>Completed</t>
        </is>
      </c>
      <c r="L467" s="17" t="inlineStr">
        <is>
          <t>Free</t>
        </is>
      </c>
      <c r="M467" s="17" t="n">
        <v>43</v>
      </c>
      <c r="N467" s="17" t="inlineStr">
        <is>
          <t>No</t>
        </is>
      </c>
    </row>
    <row r="468">
      <c r="A468" s="17" t="inlineStr">
        <is>
          <t>S00464</t>
        </is>
      </c>
      <c r="B468" s="17" t="inlineStr">
        <is>
          <t>P2743</t>
        </is>
      </c>
      <c r="C468" s="17" t="inlineStr">
        <is>
          <t>jennifersmith</t>
        </is>
      </c>
      <c r="D468" s="17" t="inlineStr">
        <is>
          <t>Empire Wars</t>
        </is>
      </c>
      <c r="E468" s="17" t="inlineStr">
        <is>
          <t>Mobile</t>
        </is>
      </c>
      <c r="F468" s="17" t="inlineStr">
        <is>
          <t>West</t>
        </is>
      </c>
      <c r="G468" s="17" t="inlineStr">
        <is>
          <t>2025-05-05</t>
        </is>
      </c>
      <c r="H468" s="17" t="n">
        <v>63</v>
      </c>
      <c r="I468" s="17" t="n">
        <v>0</v>
      </c>
      <c r="J468" s="17" t="n"/>
      <c r="K468" s="17" t="inlineStr">
        <is>
          <t>Completed</t>
        </is>
      </c>
      <c r="L468" s="17" t="inlineStr">
        <is>
          <t>Paid</t>
        </is>
      </c>
      <c r="M468" s="17" t="n">
        <v>43</v>
      </c>
      <c r="N468" s="17" t="inlineStr">
        <is>
          <t>No</t>
        </is>
      </c>
    </row>
    <row r="469">
      <c r="A469" s="17" t="inlineStr">
        <is>
          <t>S00465</t>
        </is>
      </c>
      <c r="B469" s="17" t="inlineStr">
        <is>
          <t>P1878</t>
        </is>
      </c>
      <c r="C469" s="17" t="inlineStr">
        <is>
          <t>steven19</t>
        </is>
      </c>
      <c r="D469" s="17" t="inlineStr">
        <is>
          <t>Empire Wars</t>
        </is>
      </c>
      <c r="E469" s="17" t="inlineStr">
        <is>
          <t>Mobile</t>
        </is>
      </c>
      <c r="F469" s="17" t="inlineStr">
        <is>
          <t>North-East</t>
        </is>
      </c>
      <c r="G469" s="17" t="inlineStr">
        <is>
          <t>2025-03-09</t>
        </is>
      </c>
      <c r="H469" s="17" t="n">
        <v>172</v>
      </c>
      <c r="I469" s="17" t="n">
        <v>0</v>
      </c>
      <c r="J469" s="17" t="n"/>
      <c r="K469" s="17" t="inlineStr">
        <is>
          <t>Completed</t>
        </is>
      </c>
      <c r="L469" s="17" t="inlineStr">
        <is>
          <t>Free</t>
        </is>
      </c>
      <c r="M469" s="17" t="n">
        <v>15</v>
      </c>
      <c r="N469" s="17" t="inlineStr">
        <is>
          <t>Yes</t>
        </is>
      </c>
    </row>
    <row r="470">
      <c r="A470" s="17" t="inlineStr">
        <is>
          <t>S00466</t>
        </is>
      </c>
      <c r="B470" s="17" t="inlineStr">
        <is>
          <t>P1450</t>
        </is>
      </c>
      <c r="C470" s="17" t="inlineStr">
        <is>
          <t>jacob95</t>
        </is>
      </c>
      <c r="D470" s="17" t="inlineStr">
        <is>
          <t>Zombie Rush</t>
        </is>
      </c>
      <c r="E470" s="17" t="inlineStr">
        <is>
          <t>Console</t>
        </is>
      </c>
      <c r="F470" s="17" t="inlineStr">
        <is>
          <t>Central</t>
        </is>
      </c>
      <c r="G470" s="17" t="inlineStr">
        <is>
          <t>2024-12-25</t>
        </is>
      </c>
      <c r="H470" s="17" t="n">
        <v>38</v>
      </c>
      <c r="I470" s="17" t="n">
        <v>0</v>
      </c>
      <c r="J470" s="17" t="n"/>
      <c r="K470" s="17" t="inlineStr">
        <is>
          <t>Exited Early</t>
        </is>
      </c>
      <c r="L470" s="17" t="inlineStr">
        <is>
          <t>Free</t>
        </is>
      </c>
      <c r="M470" s="17" t="n">
        <v>23</v>
      </c>
      <c r="N470" s="17" t="inlineStr">
        <is>
          <t>No</t>
        </is>
      </c>
    </row>
    <row r="471">
      <c r="A471" s="17" t="inlineStr">
        <is>
          <t>S00467</t>
        </is>
      </c>
      <c r="B471" s="17" t="inlineStr">
        <is>
          <t>P3228</t>
        </is>
      </c>
      <c r="C471" s="17" t="inlineStr">
        <is>
          <t>mlewis</t>
        </is>
      </c>
      <c r="D471" s="17" t="inlineStr">
        <is>
          <t>Clash of Realms</t>
        </is>
      </c>
      <c r="E471" s="17" t="inlineStr">
        <is>
          <t>Console</t>
        </is>
      </c>
      <c r="F471" s="17" t="inlineStr">
        <is>
          <t>North-East</t>
        </is>
      </c>
      <c r="G471" s="17" t="inlineStr">
        <is>
          <t>2024-12-28</t>
        </is>
      </c>
      <c r="H471" s="17" t="n">
        <v>132</v>
      </c>
      <c r="I471" s="17" t="n">
        <v>18</v>
      </c>
      <c r="J471" s="17" t="inlineStr">
        <is>
          <t>Battle Pass</t>
        </is>
      </c>
      <c r="K471" s="17" t="inlineStr">
        <is>
          <t>Crashed</t>
        </is>
      </c>
      <c r="L471" s="17" t="inlineStr">
        <is>
          <t>Paid</t>
        </is>
      </c>
      <c r="M471" s="17" t="n">
        <v>3</v>
      </c>
      <c r="N471" s="17" t="inlineStr">
        <is>
          <t>No</t>
        </is>
      </c>
    </row>
    <row r="472">
      <c r="A472" s="17" t="inlineStr">
        <is>
          <t>S00468</t>
        </is>
      </c>
      <c r="B472" s="17" t="inlineStr">
        <is>
          <t>P9747</t>
        </is>
      </c>
      <c r="C472" s="17" t="inlineStr">
        <is>
          <t>charles59</t>
        </is>
      </c>
      <c r="D472" s="17" t="inlineStr">
        <is>
          <t>Empire Wars</t>
        </is>
      </c>
      <c r="E472" s="17" t="inlineStr">
        <is>
          <t>Mobile</t>
        </is>
      </c>
      <c r="F472" s="17" t="inlineStr">
        <is>
          <t>West</t>
        </is>
      </c>
      <c r="G472" s="17" t="inlineStr">
        <is>
          <t>2025-05-22</t>
        </is>
      </c>
      <c r="H472" s="17" t="n">
        <v>164</v>
      </c>
      <c r="I472" s="17" t="n">
        <v>0</v>
      </c>
      <c r="J472" s="17" t="n"/>
      <c r="K472" s="17" t="inlineStr">
        <is>
          <t>Incomplete</t>
        </is>
      </c>
      <c r="L472" s="17" t="inlineStr">
        <is>
          <t>Free</t>
        </is>
      </c>
      <c r="M472" s="17" t="n">
        <v>40</v>
      </c>
      <c r="N472" s="17" t="inlineStr">
        <is>
          <t>Yes</t>
        </is>
      </c>
    </row>
    <row r="473">
      <c r="A473" s="17" t="inlineStr">
        <is>
          <t>S00469</t>
        </is>
      </c>
      <c r="B473" s="17" t="inlineStr">
        <is>
          <t>P2925</t>
        </is>
      </c>
      <c r="C473" s="17" t="inlineStr">
        <is>
          <t>kgonzalez</t>
        </is>
      </c>
      <c r="D473" s="17" t="inlineStr">
        <is>
          <t>Clash of Realms</t>
        </is>
      </c>
      <c r="E473" s="17" t="inlineStr">
        <is>
          <t>Mobile</t>
        </is>
      </c>
      <c r="F473" s="17" t="inlineStr">
        <is>
          <t>East</t>
        </is>
      </c>
      <c r="G473" s="17" t="inlineStr">
        <is>
          <t>2025-01-08</t>
        </is>
      </c>
      <c r="H473" s="17" t="n">
        <v>166</v>
      </c>
      <c r="I473" s="17" t="n">
        <v>23.59</v>
      </c>
      <c r="J473" s="17" t="inlineStr">
        <is>
          <t>Battle Pass</t>
        </is>
      </c>
      <c r="K473" s="17" t="inlineStr">
        <is>
          <t>Completed</t>
        </is>
      </c>
      <c r="L473" s="17" t="inlineStr">
        <is>
          <t>Paid</t>
        </is>
      </c>
      <c r="M473" s="17" t="n">
        <v>19</v>
      </c>
      <c r="N473" s="17" t="inlineStr">
        <is>
          <t>Yes</t>
        </is>
      </c>
    </row>
    <row r="474">
      <c r="A474" s="17" t="inlineStr">
        <is>
          <t>S00470</t>
        </is>
      </c>
      <c r="B474" s="17" t="inlineStr">
        <is>
          <t>P9769</t>
        </is>
      </c>
      <c r="C474" s="17" t="inlineStr">
        <is>
          <t>marcus01</t>
        </is>
      </c>
      <c r="D474" s="17" t="inlineStr">
        <is>
          <t>Empire Wars</t>
        </is>
      </c>
      <c r="E474" s="17" t="inlineStr">
        <is>
          <t>Console</t>
        </is>
      </c>
      <c r="F474" s="17" t="inlineStr">
        <is>
          <t>East</t>
        </is>
      </c>
      <c r="G474" s="17" t="inlineStr">
        <is>
          <t>2025-05-11</t>
        </is>
      </c>
      <c r="H474" s="17" t="n">
        <v>73</v>
      </c>
      <c r="I474" s="17" t="n">
        <v>0</v>
      </c>
      <c r="J474" s="17" t="n"/>
      <c r="K474" s="17" t="inlineStr">
        <is>
          <t>Completed</t>
        </is>
      </c>
      <c r="L474" s="17" t="inlineStr">
        <is>
          <t>Free</t>
        </is>
      </c>
      <c r="M474" s="17" t="n">
        <v>46</v>
      </c>
      <c r="N474" s="17" t="inlineStr">
        <is>
          <t>No</t>
        </is>
      </c>
    </row>
    <row r="475">
      <c r="A475" s="17" t="inlineStr">
        <is>
          <t>S00471</t>
        </is>
      </c>
      <c r="B475" s="17" t="inlineStr">
        <is>
          <t>P2833</t>
        </is>
      </c>
      <c r="C475" s="17" t="inlineStr">
        <is>
          <t>leonwells</t>
        </is>
      </c>
      <c r="D475" s="17" t="inlineStr">
        <is>
          <t>BattleZone</t>
        </is>
      </c>
      <c r="E475" s="17" t="inlineStr">
        <is>
          <t>PC</t>
        </is>
      </c>
      <c r="F475" s="17" t="inlineStr">
        <is>
          <t>Central</t>
        </is>
      </c>
      <c r="G475" s="17" t="inlineStr">
        <is>
          <t>2025-04-02</t>
        </is>
      </c>
      <c r="H475" s="17" t="n">
        <v>55</v>
      </c>
      <c r="I475" s="17" t="n">
        <v>40.58</v>
      </c>
      <c r="J475" s="17" t="inlineStr">
        <is>
          <t>Subscriptions</t>
        </is>
      </c>
      <c r="K475" s="17" t="inlineStr">
        <is>
          <t>Completed</t>
        </is>
      </c>
      <c r="L475" s="17" t="inlineStr">
        <is>
          <t>Paid</t>
        </is>
      </c>
      <c r="M475" s="17" t="n">
        <v>14</v>
      </c>
      <c r="N475" s="17" t="inlineStr">
        <is>
          <t>Yes</t>
        </is>
      </c>
    </row>
    <row r="476">
      <c r="A476" s="17" t="inlineStr">
        <is>
          <t>S00472</t>
        </is>
      </c>
      <c r="B476" s="17" t="inlineStr">
        <is>
          <t>P7312</t>
        </is>
      </c>
      <c r="C476" s="17" t="inlineStr">
        <is>
          <t>erika85</t>
        </is>
      </c>
      <c r="D476" s="17" t="inlineStr">
        <is>
          <t>Empire Wars</t>
        </is>
      </c>
      <c r="E476" s="17" t="inlineStr">
        <is>
          <t>Console</t>
        </is>
      </c>
      <c r="F476" s="17" t="inlineStr">
        <is>
          <t>South</t>
        </is>
      </c>
      <c r="G476" s="17" t="inlineStr">
        <is>
          <t>2025-05-31</t>
        </is>
      </c>
      <c r="H476" s="17" t="n">
        <v>22</v>
      </c>
      <c r="I476" s="17" t="n">
        <v>0</v>
      </c>
      <c r="J476" s="17" t="n"/>
      <c r="K476" s="17" t="inlineStr">
        <is>
          <t>Completed</t>
        </is>
      </c>
      <c r="L476" s="17" t="inlineStr">
        <is>
          <t>Free</t>
        </is>
      </c>
      <c r="M476" s="17" t="n">
        <v>36</v>
      </c>
      <c r="N476" s="17" t="inlineStr">
        <is>
          <t>No</t>
        </is>
      </c>
    </row>
    <row r="477">
      <c r="A477" s="17" t="inlineStr">
        <is>
          <t>S00473</t>
        </is>
      </c>
      <c r="B477" s="17" t="inlineStr">
        <is>
          <t>P3023</t>
        </is>
      </c>
      <c r="C477" s="17" t="inlineStr">
        <is>
          <t>jonathonmayer</t>
        </is>
      </c>
      <c r="D477" s="17" t="inlineStr">
        <is>
          <t>BattleZone</t>
        </is>
      </c>
      <c r="E477" s="17" t="inlineStr">
        <is>
          <t>Mobile</t>
        </is>
      </c>
      <c r="F477" s="17" t="inlineStr">
        <is>
          <t>North-East</t>
        </is>
      </c>
      <c r="G477" s="17" t="inlineStr">
        <is>
          <t>2025-06-03</t>
        </is>
      </c>
      <c r="H477" s="17" t="n">
        <v>56</v>
      </c>
      <c r="I477" s="17" t="n">
        <v>0</v>
      </c>
      <c r="J477" s="17" t="n"/>
      <c r="K477" s="17" t="inlineStr">
        <is>
          <t>Completed</t>
        </is>
      </c>
      <c r="L477" s="17" t="inlineStr">
        <is>
          <t>Free</t>
        </is>
      </c>
      <c r="M477" s="17" t="n">
        <v>34</v>
      </c>
      <c r="N477" s="17" t="inlineStr">
        <is>
          <t>No</t>
        </is>
      </c>
    </row>
    <row r="478">
      <c r="A478" s="17" t="inlineStr">
        <is>
          <t>S00474</t>
        </is>
      </c>
      <c r="B478" s="17" t="inlineStr">
        <is>
          <t>P4635</t>
        </is>
      </c>
      <c r="C478" s="17" t="inlineStr">
        <is>
          <t>nicholas43</t>
        </is>
      </c>
      <c r="D478" s="17" t="inlineStr">
        <is>
          <t>SpeedX</t>
        </is>
      </c>
      <c r="E478" s="17" t="inlineStr">
        <is>
          <t>Mobile</t>
        </is>
      </c>
      <c r="F478" s="17" t="inlineStr">
        <is>
          <t>East</t>
        </is>
      </c>
      <c r="G478" s="17" t="inlineStr">
        <is>
          <t>2025-03-26</t>
        </is>
      </c>
      <c r="H478" s="17" t="n">
        <v>9</v>
      </c>
      <c r="I478" s="17" t="n">
        <v>0</v>
      </c>
      <c r="J478" s="17" t="n"/>
      <c r="K478" s="17" t="inlineStr">
        <is>
          <t>Completed</t>
        </is>
      </c>
      <c r="L478" s="17" t="inlineStr">
        <is>
          <t>Free</t>
        </is>
      </c>
      <c r="M478" s="17" t="n">
        <v>21</v>
      </c>
      <c r="N478" s="17" t="inlineStr">
        <is>
          <t>No</t>
        </is>
      </c>
    </row>
    <row r="479">
      <c r="A479" s="17" t="inlineStr">
        <is>
          <t>S00475</t>
        </is>
      </c>
      <c r="B479" s="17" t="inlineStr">
        <is>
          <t>P8912</t>
        </is>
      </c>
      <c r="C479" s="17" t="inlineStr">
        <is>
          <t>paula25</t>
        </is>
      </c>
      <c r="D479" s="17" t="inlineStr">
        <is>
          <t>BattleZone</t>
        </is>
      </c>
      <c r="E479" s="17" t="inlineStr">
        <is>
          <t>Mobile</t>
        </is>
      </c>
      <c r="F479" s="17" t="inlineStr">
        <is>
          <t>West</t>
        </is>
      </c>
      <c r="G479" s="17" t="inlineStr">
        <is>
          <t>2025-02-26</t>
        </is>
      </c>
      <c r="H479" s="17" t="n">
        <v>54</v>
      </c>
      <c r="I479" s="17" t="n">
        <v>19.65</v>
      </c>
      <c r="J479" s="17" t="inlineStr">
        <is>
          <t>Skins</t>
        </is>
      </c>
      <c r="K479" s="17" t="inlineStr">
        <is>
          <t>Completed</t>
        </is>
      </c>
      <c r="L479" s="17" t="inlineStr">
        <is>
          <t>Paid</t>
        </is>
      </c>
      <c r="M479" s="17" t="n">
        <v>38</v>
      </c>
      <c r="N479" s="17" t="inlineStr">
        <is>
          <t>No</t>
        </is>
      </c>
    </row>
    <row r="480">
      <c r="A480" s="17" t="inlineStr">
        <is>
          <t>S00476</t>
        </is>
      </c>
      <c r="B480" s="17" t="inlineStr">
        <is>
          <t>P9766</t>
        </is>
      </c>
      <c r="C480" s="17" t="inlineStr">
        <is>
          <t>smithcarrie</t>
        </is>
      </c>
      <c r="D480" s="17" t="inlineStr">
        <is>
          <t>Zombie Rush</t>
        </is>
      </c>
      <c r="E480" s="17" t="inlineStr">
        <is>
          <t>Mobile</t>
        </is>
      </c>
      <c r="F480" s="17" t="inlineStr">
        <is>
          <t>South</t>
        </is>
      </c>
      <c r="G480" s="17" t="inlineStr">
        <is>
          <t>2025-02-05</t>
        </is>
      </c>
      <c r="H480" s="17" t="n">
        <v>85</v>
      </c>
      <c r="I480" s="17" t="n">
        <v>0</v>
      </c>
      <c r="J480" s="17" t="n"/>
      <c r="K480" s="17" t="inlineStr">
        <is>
          <t>Incomplete</t>
        </is>
      </c>
      <c r="L480" s="17" t="inlineStr">
        <is>
          <t>Paid</t>
        </is>
      </c>
      <c r="M480" s="17" t="n">
        <v>12</v>
      </c>
      <c r="N480" s="17" t="inlineStr">
        <is>
          <t>No</t>
        </is>
      </c>
    </row>
    <row r="481">
      <c r="A481" s="17" t="inlineStr">
        <is>
          <t>S00477</t>
        </is>
      </c>
      <c r="B481" s="17" t="inlineStr">
        <is>
          <t>P2059</t>
        </is>
      </c>
      <c r="C481" s="17" t="inlineStr">
        <is>
          <t>valenzuelakim</t>
        </is>
      </c>
      <c r="D481" s="17" t="inlineStr">
        <is>
          <t>BattleZone</t>
        </is>
      </c>
      <c r="E481" s="17" t="inlineStr">
        <is>
          <t>PC</t>
        </is>
      </c>
      <c r="F481" s="17" t="inlineStr">
        <is>
          <t>North</t>
        </is>
      </c>
      <c r="G481" s="17" t="inlineStr">
        <is>
          <t>2025-01-16</t>
        </is>
      </c>
      <c r="H481" s="17" t="n">
        <v>111</v>
      </c>
      <c r="I481" s="17" t="n">
        <v>0</v>
      </c>
      <c r="J481" s="17" t="n"/>
      <c r="K481" s="17" t="inlineStr">
        <is>
          <t>Completed</t>
        </is>
      </c>
      <c r="L481" s="17" t="inlineStr">
        <is>
          <t>Free</t>
        </is>
      </c>
      <c r="M481" s="17" t="n">
        <v>38</v>
      </c>
      <c r="N481" s="17" t="inlineStr">
        <is>
          <t>No</t>
        </is>
      </c>
    </row>
    <row r="482">
      <c r="A482" s="17" t="inlineStr">
        <is>
          <t>S00478</t>
        </is>
      </c>
      <c r="B482" s="17" t="inlineStr">
        <is>
          <t>P3378</t>
        </is>
      </c>
      <c r="C482" s="17" t="inlineStr">
        <is>
          <t>adamsbarbara</t>
        </is>
      </c>
      <c r="D482" s="17" t="inlineStr">
        <is>
          <t>SpeedX</t>
        </is>
      </c>
      <c r="E482" s="17" t="inlineStr">
        <is>
          <t>Console</t>
        </is>
      </c>
      <c r="F482" s="17" t="inlineStr">
        <is>
          <t>South</t>
        </is>
      </c>
      <c r="G482" s="17" t="inlineStr">
        <is>
          <t>2025-05-18</t>
        </is>
      </c>
      <c r="H482" s="17" t="n">
        <v>93</v>
      </c>
      <c r="I482" s="17" t="n">
        <v>0</v>
      </c>
      <c r="J482" s="17" t="n"/>
      <c r="K482" s="17" t="inlineStr">
        <is>
          <t>Completed</t>
        </is>
      </c>
      <c r="L482" s="17" t="inlineStr">
        <is>
          <t>Free</t>
        </is>
      </c>
      <c r="M482" s="17" t="n">
        <v>26</v>
      </c>
      <c r="N482" s="17" t="inlineStr">
        <is>
          <t>No</t>
        </is>
      </c>
    </row>
    <row r="483">
      <c r="A483" s="17" t="inlineStr">
        <is>
          <t>S00479</t>
        </is>
      </c>
      <c r="B483" s="17" t="inlineStr">
        <is>
          <t>P5699</t>
        </is>
      </c>
      <c r="C483" s="17" t="inlineStr">
        <is>
          <t>cathy10</t>
        </is>
      </c>
      <c r="D483" s="17" t="inlineStr">
        <is>
          <t>SpeedX</t>
        </is>
      </c>
      <c r="E483" s="17" t="inlineStr">
        <is>
          <t>Console</t>
        </is>
      </c>
      <c r="F483" s="17" t="inlineStr">
        <is>
          <t>Central</t>
        </is>
      </c>
      <c r="G483" s="17" t="inlineStr">
        <is>
          <t>2025-05-23</t>
        </is>
      </c>
      <c r="H483" s="17" t="n">
        <v>103</v>
      </c>
      <c r="I483" s="17" t="n">
        <v>0</v>
      </c>
      <c r="J483" s="17" t="n"/>
      <c r="K483" s="17" t="inlineStr">
        <is>
          <t>Completed</t>
        </is>
      </c>
      <c r="L483" s="17" t="inlineStr">
        <is>
          <t>Free</t>
        </is>
      </c>
      <c r="M483" s="17" t="n">
        <v>11</v>
      </c>
      <c r="N483" s="17" t="inlineStr">
        <is>
          <t>No</t>
        </is>
      </c>
    </row>
    <row r="484">
      <c r="A484" s="17" t="inlineStr">
        <is>
          <t>S00480</t>
        </is>
      </c>
      <c r="B484" s="17" t="inlineStr">
        <is>
          <t>P7340</t>
        </is>
      </c>
      <c r="C484" s="17" t="inlineStr">
        <is>
          <t>rogersmary</t>
        </is>
      </c>
      <c r="D484" s="17" t="inlineStr">
        <is>
          <t>BattleZone</t>
        </is>
      </c>
      <c r="E484" s="17" t="inlineStr">
        <is>
          <t>Console</t>
        </is>
      </c>
      <c r="F484" s="17" t="inlineStr">
        <is>
          <t>West</t>
        </is>
      </c>
      <c r="G484" s="17" t="inlineStr">
        <is>
          <t>2025-04-26</t>
        </is>
      </c>
      <c r="H484" s="17" t="n">
        <v>44</v>
      </c>
      <c r="I484" s="17" t="n">
        <v>0</v>
      </c>
      <c r="J484" s="17" t="n"/>
      <c r="K484" s="17" t="inlineStr">
        <is>
          <t>Incomplete</t>
        </is>
      </c>
      <c r="L484" s="17" t="inlineStr">
        <is>
          <t>Free</t>
        </is>
      </c>
      <c r="M484" s="17" t="n">
        <v>29</v>
      </c>
      <c r="N484" s="17" t="inlineStr">
        <is>
          <t>No</t>
        </is>
      </c>
    </row>
    <row r="485">
      <c r="A485" s="17" t="inlineStr">
        <is>
          <t>S00481</t>
        </is>
      </c>
      <c r="B485" s="17" t="inlineStr">
        <is>
          <t>P5458</t>
        </is>
      </c>
      <c r="C485" s="17" t="inlineStr">
        <is>
          <t>georgejones</t>
        </is>
      </c>
      <c r="D485" s="17" t="inlineStr">
        <is>
          <t>Empire Wars</t>
        </is>
      </c>
      <c r="E485" s="17" t="inlineStr">
        <is>
          <t>PC</t>
        </is>
      </c>
      <c r="F485" s="17" t="inlineStr">
        <is>
          <t>North-East</t>
        </is>
      </c>
      <c r="G485" s="17" t="inlineStr">
        <is>
          <t>2025-02-01</t>
        </is>
      </c>
      <c r="H485" s="17" t="n">
        <v>134</v>
      </c>
      <c r="I485" s="17" t="n">
        <v>0</v>
      </c>
      <c r="J485" s="17" t="n"/>
      <c r="K485" s="17" t="inlineStr">
        <is>
          <t>Completed</t>
        </is>
      </c>
      <c r="L485" s="17" t="inlineStr">
        <is>
          <t>Free</t>
        </is>
      </c>
      <c r="M485" s="17" t="n">
        <v>41</v>
      </c>
      <c r="N485" s="17" t="inlineStr">
        <is>
          <t>No</t>
        </is>
      </c>
    </row>
    <row r="486">
      <c r="A486" s="17" t="inlineStr">
        <is>
          <t>S00482</t>
        </is>
      </c>
      <c r="B486" s="17" t="inlineStr">
        <is>
          <t>P6129</t>
        </is>
      </c>
      <c r="C486" s="17" t="inlineStr">
        <is>
          <t>donna27</t>
        </is>
      </c>
      <c r="D486" s="17" t="inlineStr">
        <is>
          <t>Zombie Rush</t>
        </is>
      </c>
      <c r="E486" s="17" t="inlineStr">
        <is>
          <t>Mobile</t>
        </is>
      </c>
      <c r="F486" s="17" t="inlineStr">
        <is>
          <t>North-East</t>
        </is>
      </c>
      <c r="G486" s="17" t="inlineStr">
        <is>
          <t>2025-05-27</t>
        </is>
      </c>
      <c r="H486" s="17" t="n">
        <v>167</v>
      </c>
      <c r="I486" s="17" t="n">
        <v>0</v>
      </c>
      <c r="J486" s="17" t="n"/>
      <c r="K486" s="17" t="inlineStr">
        <is>
          <t>Completed</t>
        </is>
      </c>
      <c r="L486" s="17" t="inlineStr">
        <is>
          <t>Free</t>
        </is>
      </c>
      <c r="M486" s="17" t="n">
        <v>28</v>
      </c>
      <c r="N486" s="17" t="inlineStr">
        <is>
          <t>Yes</t>
        </is>
      </c>
    </row>
    <row r="487">
      <c r="A487" s="17" t="inlineStr">
        <is>
          <t>S00483</t>
        </is>
      </c>
      <c r="B487" s="17" t="inlineStr">
        <is>
          <t>P6524</t>
        </is>
      </c>
      <c r="C487" s="17" t="inlineStr">
        <is>
          <t>jhayes</t>
        </is>
      </c>
      <c r="D487" s="17" t="inlineStr">
        <is>
          <t>Zombie Rush</t>
        </is>
      </c>
      <c r="E487" s="17" t="inlineStr">
        <is>
          <t>Mobile</t>
        </is>
      </c>
      <c r="F487" s="17" t="inlineStr">
        <is>
          <t>North-East</t>
        </is>
      </c>
      <c r="G487" s="17" t="inlineStr">
        <is>
          <t>2025-03-01</t>
        </is>
      </c>
      <c r="H487" s="17" t="n">
        <v>149</v>
      </c>
      <c r="I487" s="17" t="n">
        <v>5.05</v>
      </c>
      <c r="J487" s="17" t="inlineStr">
        <is>
          <t>Boosters</t>
        </is>
      </c>
      <c r="K487" s="17" t="inlineStr">
        <is>
          <t>Completed</t>
        </is>
      </c>
      <c r="L487" s="17" t="inlineStr">
        <is>
          <t>Paid</t>
        </is>
      </c>
      <c r="M487" s="17" t="n">
        <v>44</v>
      </c>
      <c r="N487" s="17" t="inlineStr">
        <is>
          <t>No</t>
        </is>
      </c>
    </row>
    <row r="488">
      <c r="A488" s="17" t="inlineStr">
        <is>
          <t>S00484</t>
        </is>
      </c>
      <c r="B488" s="17" t="inlineStr">
        <is>
          <t>P3747</t>
        </is>
      </c>
      <c r="C488" s="17" t="inlineStr">
        <is>
          <t>neallisa</t>
        </is>
      </c>
      <c r="D488" s="17" t="inlineStr">
        <is>
          <t>BattleZone</t>
        </is>
      </c>
      <c r="E488" s="17" t="inlineStr">
        <is>
          <t>PC</t>
        </is>
      </c>
      <c r="F488" s="17" t="inlineStr">
        <is>
          <t>West</t>
        </is>
      </c>
      <c r="G488" s="17" t="inlineStr">
        <is>
          <t>2025-04-16</t>
        </is>
      </c>
      <c r="H488" s="17" t="n">
        <v>139</v>
      </c>
      <c r="I488" s="17" t="n">
        <v>0</v>
      </c>
      <c r="J488" s="17" t="n"/>
      <c r="K488" s="17" t="inlineStr">
        <is>
          <t>Completed</t>
        </is>
      </c>
      <c r="L488" s="17" t="inlineStr">
        <is>
          <t>Free</t>
        </is>
      </c>
      <c r="M488" s="17" t="n">
        <v>19</v>
      </c>
      <c r="N488" s="17" t="inlineStr">
        <is>
          <t>No</t>
        </is>
      </c>
    </row>
    <row r="489">
      <c r="A489" s="17" t="inlineStr">
        <is>
          <t>S00485</t>
        </is>
      </c>
      <c r="B489" s="17" t="inlineStr">
        <is>
          <t>P3923</t>
        </is>
      </c>
      <c r="C489" s="17" t="inlineStr">
        <is>
          <t>evanskristen</t>
        </is>
      </c>
      <c r="D489" s="17" t="inlineStr">
        <is>
          <t>Clash of Realms</t>
        </is>
      </c>
      <c r="E489" s="17" t="inlineStr">
        <is>
          <t>Mobile</t>
        </is>
      </c>
      <c r="F489" s="17" t="inlineStr">
        <is>
          <t>East</t>
        </is>
      </c>
      <c r="G489" s="17" t="inlineStr">
        <is>
          <t>2025-03-09</t>
        </is>
      </c>
      <c r="H489" s="17" t="n">
        <v>64</v>
      </c>
      <c r="I489" s="17" t="n">
        <v>0</v>
      </c>
      <c r="J489" s="17" t="n"/>
      <c r="K489" s="17" t="inlineStr">
        <is>
          <t>Crashed</t>
        </is>
      </c>
      <c r="L489" s="17" t="inlineStr">
        <is>
          <t>Free</t>
        </is>
      </c>
      <c r="M489" s="17" t="n">
        <v>33</v>
      </c>
      <c r="N489" s="17" t="inlineStr">
        <is>
          <t>No</t>
        </is>
      </c>
    </row>
    <row r="490">
      <c r="A490" s="17" t="inlineStr">
        <is>
          <t>S00486</t>
        </is>
      </c>
      <c r="B490" s="17" t="inlineStr">
        <is>
          <t>P1788</t>
        </is>
      </c>
      <c r="C490" s="17" t="inlineStr">
        <is>
          <t>bhenson</t>
        </is>
      </c>
      <c r="D490" s="17" t="inlineStr">
        <is>
          <t>SpeedX</t>
        </is>
      </c>
      <c r="E490" s="17" t="inlineStr">
        <is>
          <t>PC</t>
        </is>
      </c>
      <c r="F490" s="17" t="inlineStr">
        <is>
          <t>East</t>
        </is>
      </c>
      <c r="G490" s="17" t="inlineStr">
        <is>
          <t>2025-04-01</t>
        </is>
      </c>
      <c r="H490" s="17" t="n">
        <v>86</v>
      </c>
      <c r="I490" s="17" t="n">
        <v>0</v>
      </c>
      <c r="J490" s="17" t="n"/>
      <c r="K490" s="17" t="inlineStr">
        <is>
          <t>Completed</t>
        </is>
      </c>
      <c r="L490" s="17" t="inlineStr">
        <is>
          <t>Free</t>
        </is>
      </c>
      <c r="M490" s="17" t="n">
        <v>17</v>
      </c>
      <c r="N490" s="17" t="inlineStr">
        <is>
          <t>No</t>
        </is>
      </c>
    </row>
    <row r="491">
      <c r="A491" s="17" t="inlineStr">
        <is>
          <t>S00487</t>
        </is>
      </c>
      <c r="B491" s="17" t="inlineStr">
        <is>
          <t>P2044</t>
        </is>
      </c>
      <c r="C491" s="17" t="inlineStr">
        <is>
          <t>hgardner</t>
        </is>
      </c>
      <c r="D491" s="17" t="inlineStr">
        <is>
          <t>SpeedX</t>
        </is>
      </c>
      <c r="E491" s="17" t="inlineStr">
        <is>
          <t>Mobile</t>
        </is>
      </c>
      <c r="F491" s="17" t="inlineStr">
        <is>
          <t>East</t>
        </is>
      </c>
      <c r="G491" s="17" t="inlineStr">
        <is>
          <t>2025-04-17</t>
        </is>
      </c>
      <c r="H491" s="17" t="n">
        <v>13</v>
      </c>
      <c r="I491" s="17" t="n">
        <v>0</v>
      </c>
      <c r="J491" s="17" t="n"/>
      <c r="K491" s="17" t="inlineStr">
        <is>
          <t>Completed</t>
        </is>
      </c>
      <c r="L491" s="17" t="inlineStr">
        <is>
          <t>Free</t>
        </is>
      </c>
      <c r="M491" s="17" t="n">
        <v>47</v>
      </c>
      <c r="N491" s="17" t="inlineStr">
        <is>
          <t>No</t>
        </is>
      </c>
    </row>
    <row r="492">
      <c r="A492" s="17" t="inlineStr">
        <is>
          <t>S00488</t>
        </is>
      </c>
      <c r="B492" s="17" t="inlineStr">
        <is>
          <t>P1977</t>
        </is>
      </c>
      <c r="C492" s="17" t="inlineStr">
        <is>
          <t>mckinneychristopher</t>
        </is>
      </c>
      <c r="D492" s="17" t="inlineStr">
        <is>
          <t>SpeedX</t>
        </is>
      </c>
      <c r="E492" s="17" t="inlineStr">
        <is>
          <t>Mobile</t>
        </is>
      </c>
      <c r="F492" s="17" t="inlineStr">
        <is>
          <t>East</t>
        </is>
      </c>
      <c r="G492" s="17" t="inlineStr">
        <is>
          <t>2025-06-13</t>
        </is>
      </c>
      <c r="H492" s="17" t="n">
        <v>11</v>
      </c>
      <c r="I492" s="17" t="n">
        <v>20.66</v>
      </c>
      <c r="J492" s="17" t="inlineStr">
        <is>
          <t>Battle Pass</t>
        </is>
      </c>
      <c r="K492" s="17" t="inlineStr">
        <is>
          <t>Completed</t>
        </is>
      </c>
      <c r="L492" s="17" t="inlineStr">
        <is>
          <t>Paid</t>
        </is>
      </c>
      <c r="M492" s="17" t="n">
        <v>40</v>
      </c>
      <c r="N492" s="17" t="inlineStr">
        <is>
          <t>No</t>
        </is>
      </c>
    </row>
    <row r="493">
      <c r="A493" s="17" t="inlineStr">
        <is>
          <t>S00489</t>
        </is>
      </c>
      <c r="B493" s="17" t="inlineStr">
        <is>
          <t>P1280</t>
        </is>
      </c>
      <c r="C493" s="17" t="inlineStr">
        <is>
          <t>elizabeth71</t>
        </is>
      </c>
      <c r="D493" s="17" t="inlineStr">
        <is>
          <t>BattleZone</t>
        </is>
      </c>
      <c r="E493" s="17" t="inlineStr">
        <is>
          <t>Mobile</t>
        </is>
      </c>
      <c r="F493" s="17" t="inlineStr">
        <is>
          <t>South</t>
        </is>
      </c>
      <c r="G493" s="17" t="inlineStr">
        <is>
          <t>2025-01-05</t>
        </is>
      </c>
      <c r="H493" s="17" t="n">
        <v>55</v>
      </c>
      <c r="I493" s="17" t="n">
        <v>0</v>
      </c>
      <c r="J493" s="17" t="n"/>
      <c r="K493" s="17" t="inlineStr">
        <is>
          <t>Exited Early</t>
        </is>
      </c>
      <c r="L493" s="17" t="inlineStr">
        <is>
          <t>Free</t>
        </is>
      </c>
      <c r="M493" s="17" t="n">
        <v>26</v>
      </c>
      <c r="N493" s="17" t="inlineStr">
        <is>
          <t>No</t>
        </is>
      </c>
    </row>
    <row r="494">
      <c r="A494" s="17" t="inlineStr">
        <is>
          <t>S00490</t>
        </is>
      </c>
      <c r="B494" s="17" t="inlineStr">
        <is>
          <t>P9973</t>
        </is>
      </c>
      <c r="C494" s="17" t="inlineStr">
        <is>
          <t>ilambert</t>
        </is>
      </c>
      <c r="D494" s="17" t="inlineStr">
        <is>
          <t>Clash of Realms</t>
        </is>
      </c>
      <c r="E494" s="17" t="inlineStr">
        <is>
          <t>Console</t>
        </is>
      </c>
      <c r="F494" s="17" t="inlineStr">
        <is>
          <t>West</t>
        </is>
      </c>
      <c r="G494" s="17" t="inlineStr">
        <is>
          <t>2025-05-16</t>
        </is>
      </c>
      <c r="H494" s="17" t="n">
        <v>146</v>
      </c>
      <c r="I494" s="17" t="n">
        <v>0</v>
      </c>
      <c r="J494" s="17" t="n"/>
      <c r="K494" s="17" t="inlineStr">
        <is>
          <t>Crashed</t>
        </is>
      </c>
      <c r="L494" s="17" t="inlineStr">
        <is>
          <t>Free</t>
        </is>
      </c>
      <c r="M494" s="17" t="n">
        <v>2</v>
      </c>
      <c r="N494" s="17" t="inlineStr">
        <is>
          <t>No</t>
        </is>
      </c>
    </row>
    <row r="495">
      <c r="A495" s="17" t="inlineStr">
        <is>
          <t>S00491</t>
        </is>
      </c>
      <c r="B495" s="17" t="inlineStr">
        <is>
          <t>P8692</t>
        </is>
      </c>
      <c r="C495" s="17" t="inlineStr">
        <is>
          <t>millerdonald</t>
        </is>
      </c>
      <c r="D495" s="17" t="inlineStr">
        <is>
          <t>Clash of Realms</t>
        </is>
      </c>
      <c r="E495" s="17" t="inlineStr">
        <is>
          <t>PC</t>
        </is>
      </c>
      <c r="F495" s="17" t="inlineStr">
        <is>
          <t>South</t>
        </is>
      </c>
      <c r="G495" s="17" t="inlineStr">
        <is>
          <t>2025-05-20</t>
        </is>
      </c>
      <c r="H495" s="17" t="n">
        <v>179</v>
      </c>
      <c r="I495" s="17" t="n">
        <v>0</v>
      </c>
      <c r="J495" s="17" t="n"/>
      <c r="K495" s="17" t="inlineStr">
        <is>
          <t>Completed</t>
        </is>
      </c>
      <c r="L495" s="17" t="inlineStr">
        <is>
          <t>Free</t>
        </is>
      </c>
      <c r="M495" s="17" t="n">
        <v>10</v>
      </c>
      <c r="N495" s="17" t="inlineStr">
        <is>
          <t>Yes</t>
        </is>
      </c>
    </row>
    <row r="496">
      <c r="A496" s="17" t="inlineStr">
        <is>
          <t>S00492</t>
        </is>
      </c>
      <c r="B496" s="17" t="inlineStr">
        <is>
          <t>P6606</t>
        </is>
      </c>
      <c r="C496" s="17" t="inlineStr">
        <is>
          <t>krogers</t>
        </is>
      </c>
      <c r="D496" s="17" t="inlineStr">
        <is>
          <t>SpeedX</t>
        </is>
      </c>
      <c r="E496" s="17" t="inlineStr">
        <is>
          <t>PC</t>
        </is>
      </c>
      <c r="F496" s="17" t="inlineStr">
        <is>
          <t>North</t>
        </is>
      </c>
      <c r="G496" s="17" t="inlineStr">
        <is>
          <t>2025-03-22</t>
        </is>
      </c>
      <c r="H496" s="17" t="n">
        <v>63</v>
      </c>
      <c r="I496" s="17" t="n">
        <v>0</v>
      </c>
      <c r="J496" s="17" t="n"/>
      <c r="K496" s="17" t="inlineStr">
        <is>
          <t>Completed</t>
        </is>
      </c>
      <c r="L496" s="17" t="inlineStr">
        <is>
          <t>Free</t>
        </is>
      </c>
      <c r="M496" s="17" t="n">
        <v>4</v>
      </c>
      <c r="N496" s="17" t="inlineStr">
        <is>
          <t>No</t>
        </is>
      </c>
    </row>
    <row r="497">
      <c r="A497" s="17" t="inlineStr">
        <is>
          <t>S00493</t>
        </is>
      </c>
      <c r="B497" s="17" t="inlineStr">
        <is>
          <t>P2133</t>
        </is>
      </c>
      <c r="C497" s="17" t="inlineStr">
        <is>
          <t>scott72</t>
        </is>
      </c>
      <c r="D497" s="17" t="inlineStr">
        <is>
          <t>Zombie Rush</t>
        </is>
      </c>
      <c r="E497" s="17" t="inlineStr">
        <is>
          <t>PC</t>
        </is>
      </c>
      <c r="F497" s="17" t="inlineStr">
        <is>
          <t>East</t>
        </is>
      </c>
      <c r="G497" s="17" t="inlineStr">
        <is>
          <t>2025-04-30</t>
        </is>
      </c>
      <c r="H497" s="17" t="n">
        <v>21</v>
      </c>
      <c r="I497" s="17" t="n">
        <v>0</v>
      </c>
      <c r="J497" s="17" t="n"/>
      <c r="K497" s="17" t="inlineStr">
        <is>
          <t>Completed</t>
        </is>
      </c>
      <c r="L497" s="17" t="inlineStr">
        <is>
          <t>Free</t>
        </is>
      </c>
      <c r="M497" s="17" t="n">
        <v>22</v>
      </c>
      <c r="N497" s="17" t="inlineStr">
        <is>
          <t>No</t>
        </is>
      </c>
    </row>
    <row r="498">
      <c r="A498" s="17" t="inlineStr">
        <is>
          <t>S00494</t>
        </is>
      </c>
      <c r="B498" s="17" t="inlineStr">
        <is>
          <t>P3534</t>
        </is>
      </c>
      <c r="C498" s="17" t="inlineStr">
        <is>
          <t>simsalexis</t>
        </is>
      </c>
      <c r="D498" s="17" t="inlineStr">
        <is>
          <t>Clash of Realms</t>
        </is>
      </c>
      <c r="E498" s="17" t="inlineStr">
        <is>
          <t>PC</t>
        </is>
      </c>
      <c r="F498" s="17" t="inlineStr">
        <is>
          <t>East</t>
        </is>
      </c>
      <c r="G498" s="17" t="inlineStr">
        <is>
          <t>2025-04-16</t>
        </is>
      </c>
      <c r="H498" s="17" t="n">
        <v>56</v>
      </c>
      <c r="I498" s="17" t="n">
        <v>46.31</v>
      </c>
      <c r="J498" s="17" t="inlineStr">
        <is>
          <t>Skins</t>
        </is>
      </c>
      <c r="K498" s="17" t="inlineStr">
        <is>
          <t>Completed</t>
        </is>
      </c>
      <c r="L498" s="17" t="inlineStr">
        <is>
          <t>Paid</t>
        </is>
      </c>
      <c r="M498" s="17" t="n">
        <v>11</v>
      </c>
      <c r="N498" s="17" t="inlineStr">
        <is>
          <t>Yes</t>
        </is>
      </c>
    </row>
    <row r="499">
      <c r="A499" s="17" t="inlineStr">
        <is>
          <t>S00495</t>
        </is>
      </c>
      <c r="B499" s="17" t="inlineStr">
        <is>
          <t>P7831</t>
        </is>
      </c>
      <c r="C499" s="17" t="inlineStr">
        <is>
          <t>kingsandra</t>
        </is>
      </c>
      <c r="D499" s="17" t="inlineStr">
        <is>
          <t>Empire Wars</t>
        </is>
      </c>
      <c r="E499" s="17" t="inlineStr">
        <is>
          <t>Console</t>
        </is>
      </c>
      <c r="F499" s="17" t="inlineStr">
        <is>
          <t>West</t>
        </is>
      </c>
      <c r="G499" s="17" t="inlineStr">
        <is>
          <t>2025-01-15</t>
        </is>
      </c>
      <c r="H499" s="17" t="n">
        <v>171</v>
      </c>
      <c r="I499" s="17" t="n">
        <v>0</v>
      </c>
      <c r="J499" s="17" t="n"/>
      <c r="K499" s="17" t="inlineStr">
        <is>
          <t>Completed</t>
        </is>
      </c>
      <c r="L499" s="17" t="inlineStr">
        <is>
          <t>Free</t>
        </is>
      </c>
      <c r="M499" s="17" t="n">
        <v>35</v>
      </c>
      <c r="N499" s="17" t="inlineStr">
        <is>
          <t>Yes</t>
        </is>
      </c>
    </row>
    <row r="500">
      <c r="A500" s="17" t="inlineStr">
        <is>
          <t>S00496</t>
        </is>
      </c>
      <c r="B500" s="17" t="inlineStr">
        <is>
          <t>P2872</t>
        </is>
      </c>
      <c r="C500" s="17" t="inlineStr">
        <is>
          <t>april12</t>
        </is>
      </c>
      <c r="D500" s="17" t="inlineStr">
        <is>
          <t>BattleZone</t>
        </is>
      </c>
      <c r="E500" s="17" t="inlineStr">
        <is>
          <t>Mobile</t>
        </is>
      </c>
      <c r="F500" s="17" t="inlineStr">
        <is>
          <t>North</t>
        </is>
      </c>
      <c r="G500" s="17" t="inlineStr">
        <is>
          <t>2025-03-27</t>
        </is>
      </c>
      <c r="H500" s="17" t="n">
        <v>24</v>
      </c>
      <c r="I500" s="17" t="n">
        <v>0</v>
      </c>
      <c r="J500" s="17" t="n"/>
      <c r="K500" s="17" t="inlineStr">
        <is>
          <t>Completed</t>
        </is>
      </c>
      <c r="L500" s="17" t="inlineStr">
        <is>
          <t>Paid</t>
        </is>
      </c>
      <c r="M500" s="17" t="n">
        <v>33</v>
      </c>
      <c r="N500" s="17" t="inlineStr">
        <is>
          <t>No</t>
        </is>
      </c>
    </row>
    <row r="501">
      <c r="A501" s="17" t="inlineStr">
        <is>
          <t>S00497</t>
        </is>
      </c>
      <c r="B501" s="17" t="inlineStr">
        <is>
          <t>P1457</t>
        </is>
      </c>
      <c r="C501" s="17" t="inlineStr">
        <is>
          <t>turnersusan</t>
        </is>
      </c>
      <c r="D501" s="17" t="inlineStr">
        <is>
          <t>Empire Wars</t>
        </is>
      </c>
      <c r="E501" s="17" t="inlineStr">
        <is>
          <t>Mobile</t>
        </is>
      </c>
      <c r="F501" s="17" t="inlineStr">
        <is>
          <t>West</t>
        </is>
      </c>
      <c r="G501" s="17" t="inlineStr">
        <is>
          <t>2025-02-14</t>
        </is>
      </c>
      <c r="H501" s="17" t="n">
        <v>157</v>
      </c>
      <c r="I501" s="17" t="n">
        <v>26.84</v>
      </c>
      <c r="J501" s="17" t="inlineStr">
        <is>
          <t>Boosters</t>
        </is>
      </c>
      <c r="K501" s="17" t="inlineStr">
        <is>
          <t>Completed</t>
        </is>
      </c>
      <c r="L501" s="17" t="inlineStr">
        <is>
          <t>Paid</t>
        </is>
      </c>
      <c r="M501" s="17" t="n">
        <v>25</v>
      </c>
      <c r="N501" s="17" t="inlineStr">
        <is>
          <t>Yes</t>
        </is>
      </c>
    </row>
    <row r="502">
      <c r="A502" s="17" t="inlineStr">
        <is>
          <t>S00498</t>
        </is>
      </c>
      <c r="B502" s="17" t="inlineStr">
        <is>
          <t>P6771</t>
        </is>
      </c>
      <c r="C502" s="17" t="inlineStr">
        <is>
          <t>kenneth92</t>
        </is>
      </c>
      <c r="D502" s="17" t="inlineStr">
        <is>
          <t>BattleZone</t>
        </is>
      </c>
      <c r="E502" s="17" t="inlineStr">
        <is>
          <t>PC</t>
        </is>
      </c>
      <c r="F502" s="17" t="inlineStr">
        <is>
          <t>West</t>
        </is>
      </c>
      <c r="G502" s="17" t="inlineStr">
        <is>
          <t>2025-01-18</t>
        </is>
      </c>
      <c r="H502" s="17" t="n">
        <v>44</v>
      </c>
      <c r="I502" s="17" t="n">
        <v>0</v>
      </c>
      <c r="J502" s="17" t="n"/>
      <c r="K502" s="17" t="inlineStr">
        <is>
          <t>Completed</t>
        </is>
      </c>
      <c r="L502" s="17" t="inlineStr">
        <is>
          <t>Free</t>
        </is>
      </c>
      <c r="M502" s="17" t="n">
        <v>42</v>
      </c>
      <c r="N502" s="17" t="inlineStr">
        <is>
          <t>No</t>
        </is>
      </c>
    </row>
    <row r="503">
      <c r="A503" s="17" t="inlineStr">
        <is>
          <t>S00499</t>
        </is>
      </c>
      <c r="B503" s="17" t="inlineStr">
        <is>
          <t>P1107</t>
        </is>
      </c>
      <c r="C503" s="17" t="inlineStr">
        <is>
          <t>victoria57</t>
        </is>
      </c>
      <c r="D503" s="17" t="inlineStr">
        <is>
          <t>Clash of Realms</t>
        </is>
      </c>
      <c r="E503" s="17" t="inlineStr">
        <is>
          <t>Mobile</t>
        </is>
      </c>
      <c r="F503" s="17" t="inlineStr">
        <is>
          <t>South</t>
        </is>
      </c>
      <c r="G503" s="17" t="inlineStr">
        <is>
          <t>2025-01-03</t>
        </is>
      </c>
      <c r="H503" s="17" t="n">
        <v>172</v>
      </c>
      <c r="I503" s="17" t="n">
        <v>0</v>
      </c>
      <c r="J503" s="17" t="n"/>
      <c r="K503" s="17" t="inlineStr">
        <is>
          <t>Exited Early</t>
        </is>
      </c>
      <c r="L503" s="17" t="inlineStr">
        <is>
          <t>Free</t>
        </is>
      </c>
      <c r="M503" s="17" t="n">
        <v>4</v>
      </c>
      <c r="N503" s="17" t="inlineStr">
        <is>
          <t>Yes</t>
        </is>
      </c>
    </row>
    <row r="504">
      <c r="A504" s="17" t="inlineStr">
        <is>
          <t>S00500</t>
        </is>
      </c>
      <c r="B504" s="17" t="inlineStr">
        <is>
          <t>P4402</t>
        </is>
      </c>
      <c r="C504" s="17" t="inlineStr">
        <is>
          <t>fnolan</t>
        </is>
      </c>
      <c r="D504" s="17" t="inlineStr">
        <is>
          <t>BattleZone</t>
        </is>
      </c>
      <c r="E504" s="17" t="inlineStr">
        <is>
          <t>Console</t>
        </is>
      </c>
      <c r="F504" s="17" t="inlineStr">
        <is>
          <t>North</t>
        </is>
      </c>
      <c r="G504" s="17" t="inlineStr">
        <is>
          <t>2024-12-30</t>
        </is>
      </c>
      <c r="H504" s="17" t="n">
        <v>20</v>
      </c>
      <c r="I504" s="17" t="n">
        <v>0</v>
      </c>
      <c r="J504" s="17" t="n"/>
      <c r="K504" s="17" t="inlineStr">
        <is>
          <t>Completed</t>
        </is>
      </c>
      <c r="L504" s="17" t="inlineStr">
        <is>
          <t>Paid</t>
        </is>
      </c>
      <c r="M504" s="17" t="n">
        <v>30</v>
      </c>
      <c r="N504" s="17" t="inlineStr">
        <is>
          <t>No</t>
        </is>
      </c>
    </row>
  </sheetData>
  <conditionalFormatting sqref="H5:H504">
    <cfRule type="cellIs" priority="2" operator="lessThan" dxfId="0">
      <formula>0</formula>
    </cfRule>
  </conditionalFormatting>
  <conditionalFormatting sqref="I5:I504">
    <cfRule type="cellIs" priority="3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4" customWidth="1" style="26" min="1" max="2"/>
    <col width="15" customWidth="1" style="26" min="3" max="3"/>
    <col width="14" customWidth="1" style="26" min="4" max="6"/>
    <col width="16" customWidth="1" style="26" min="7" max="7"/>
    <col width="26" customWidth="1" style="26" min="8" max="8"/>
    <col width="24" customWidth="1" style="26" min="9" max="9"/>
    <col width="17" customWidth="1" style="26" min="10" max="10"/>
    <col width="18" customWidth="1" style="26" min="11" max="11"/>
    <col width="15" customWidth="1" style="26" min="12" max="12"/>
    <col width="17" customWidth="1" style="26" min="13" max="14"/>
    <col width="14" customWidth="1" style="26" min="15" max="15"/>
    <col width="20" customWidth="1" style="26" min="16" max="16"/>
    <col width="17" customWidth="1" style="26" min="17" max="17"/>
    <col width="19" customWidth="1" style="26" min="18" max="18"/>
    <col width="23" customWidth="1" style="26" min="19" max="19"/>
  </cols>
  <sheetData>
    <row r="1" ht="17.45" customHeight="1" s="26">
      <c r="A1" s="27" t="inlineStr">
        <is>
          <t>CLEANED DATA + DERIVED COLUMNS (Step 2 &amp; Step 3 outputs)</t>
        </is>
      </c>
    </row>
    <row r="2">
      <c r="A2" s="15" t="inlineStr">
        <is>
          <t>Blank Purchase Type filled with 'No Purchase'; checked for duplicates/negatives/date range (none found). Year-Month / Engagement Level / Made Purchase / Suspicious Flag / QA Check are live formulas.</t>
        </is>
      </c>
    </row>
    <row r="4">
      <c r="A4" s="16" t="inlineStr">
        <is>
          <t>Session ID</t>
        </is>
      </c>
      <c r="B4" s="16" t="inlineStr">
        <is>
          <t>Player ID</t>
        </is>
      </c>
      <c r="C4" s="16" t="inlineStr">
        <is>
          <t>Player Name</t>
        </is>
      </c>
      <c r="D4" s="16" t="inlineStr">
        <is>
          <t>Game Name</t>
        </is>
      </c>
      <c r="E4" s="16" t="inlineStr">
        <is>
          <t>Platform</t>
        </is>
      </c>
      <c r="F4" s="16" t="inlineStr">
        <is>
          <t>Region</t>
        </is>
      </c>
      <c r="G4" s="16" t="inlineStr">
        <is>
          <t>Session Date</t>
        </is>
      </c>
      <c r="H4" s="16" t="inlineStr">
        <is>
          <t>Session Duration (min)</t>
        </is>
      </c>
      <c r="I4" s="16" t="inlineStr">
        <is>
          <t>In-Game Purchase ($)</t>
        </is>
      </c>
      <c r="J4" s="16" t="inlineStr">
        <is>
          <t>Purchase Type</t>
        </is>
      </c>
      <c r="K4" s="16" t="inlineStr">
        <is>
          <t>Session Status</t>
        </is>
      </c>
      <c r="L4" s="16" t="inlineStr">
        <is>
          <t>Player Type</t>
        </is>
      </c>
      <c r="M4" s="16" t="inlineStr">
        <is>
          <t>Level Reached</t>
        </is>
      </c>
      <c r="N4" s="16" t="inlineStr">
        <is>
          <t>Is Suspicious</t>
        </is>
      </c>
      <c r="O4" s="16" t="inlineStr">
        <is>
          <t>Year-Month</t>
        </is>
      </c>
      <c r="P4" s="16" t="inlineStr">
        <is>
          <t>Engagement Level</t>
        </is>
      </c>
      <c r="Q4" s="16" t="inlineStr">
        <is>
          <t>Made Purchase</t>
        </is>
      </c>
      <c r="R4" s="16" t="inlineStr">
        <is>
          <t>Suspicious Flag</t>
        </is>
      </c>
      <c r="S4" s="16" t="inlineStr">
        <is>
          <t>QA Suspicious Match</t>
        </is>
      </c>
    </row>
    <row r="5">
      <c r="A5" s="17" t="inlineStr">
        <is>
          <t>S00347</t>
        </is>
      </c>
      <c r="B5" s="17" t="inlineStr">
        <is>
          <t>P8336</t>
        </is>
      </c>
      <c r="C5" s="17" t="inlineStr">
        <is>
          <t>michellewilliams</t>
        </is>
      </c>
      <c r="D5" s="17" t="inlineStr">
        <is>
          <t>BattleZone</t>
        </is>
      </c>
      <c r="E5" s="17" t="inlineStr">
        <is>
          <t>Mobile</t>
        </is>
      </c>
      <c r="F5" s="17" t="inlineStr">
        <is>
          <t>North-East</t>
        </is>
      </c>
      <c r="G5" s="18" t="n">
        <v>45639</v>
      </c>
      <c r="H5" s="17" t="n">
        <v>44</v>
      </c>
      <c r="I5" s="17" t="n">
        <v>0</v>
      </c>
      <c r="J5" s="17" t="inlineStr">
        <is>
          <t>No Purchase</t>
        </is>
      </c>
      <c r="K5" s="17" t="inlineStr">
        <is>
          <t>Completed</t>
        </is>
      </c>
      <c r="L5" s="17" t="inlineStr">
        <is>
          <t>Free</t>
        </is>
      </c>
      <c r="M5" s="17" t="n">
        <v>19</v>
      </c>
      <c r="N5" s="17" t="inlineStr">
        <is>
          <t>No</t>
        </is>
      </c>
      <c r="O5" s="17">
        <f>TEXT(G5,"yyyy-mm")</f>
        <v/>
      </c>
      <c r="P5" s="17">
        <f>IF(H5&lt;20,"Low",IF(H5&lt;=60,"Medium","High"))</f>
        <v/>
      </c>
      <c r="Q5" s="17">
        <f>IF(I5&gt;0,"Yes","No")</f>
        <v/>
      </c>
      <c r="R5" s="17">
        <f>IF(N5="Yes",1,0)</f>
        <v/>
      </c>
      <c r="S5" s="17">
        <f>IF(N5=IF(OR(H5&gt;150,I5&gt;40),"Yes","No"),"Match","Mismatch")</f>
        <v/>
      </c>
    </row>
    <row r="6">
      <c r="A6" s="17" t="inlineStr">
        <is>
          <t>S00253</t>
        </is>
      </c>
      <c r="B6" s="17" t="inlineStr">
        <is>
          <t>P6499</t>
        </is>
      </c>
      <c r="C6" s="17" t="inlineStr">
        <is>
          <t>juanjones</t>
        </is>
      </c>
      <c r="D6" s="17" t="inlineStr">
        <is>
          <t>Empire Wars</t>
        </is>
      </c>
      <c r="E6" s="17" t="inlineStr">
        <is>
          <t>Mobile</t>
        </is>
      </c>
      <c r="F6" s="17" t="inlineStr">
        <is>
          <t>West</t>
        </is>
      </c>
      <c r="G6" s="18" t="n">
        <v>45639</v>
      </c>
      <c r="H6" s="17" t="n">
        <v>133</v>
      </c>
      <c r="I6" s="17" t="n">
        <v>8.050000000000001</v>
      </c>
      <c r="J6" s="17" t="inlineStr">
        <is>
          <t>Skins</t>
        </is>
      </c>
      <c r="K6" s="17" t="inlineStr">
        <is>
          <t>Completed</t>
        </is>
      </c>
      <c r="L6" s="17" t="inlineStr">
        <is>
          <t>Paid</t>
        </is>
      </c>
      <c r="M6" s="17" t="n">
        <v>35</v>
      </c>
      <c r="N6" s="17" t="inlineStr">
        <is>
          <t>No</t>
        </is>
      </c>
      <c r="O6" s="17">
        <f>TEXT(G6,"yyyy-mm")</f>
        <v/>
      </c>
      <c r="P6" s="17">
        <f>IF(H6&lt;20,"Low",IF(H6&lt;=60,"Medium","High"))</f>
        <v/>
      </c>
      <c r="Q6" s="17">
        <f>IF(I6&gt;0,"Yes","No")</f>
        <v/>
      </c>
      <c r="R6" s="17">
        <f>IF(N6="Yes",1,0)</f>
        <v/>
      </c>
      <c r="S6" s="17">
        <f>IF(N6=IF(OR(H6&gt;150,I6&gt;40),"Yes","No"),"Match","Mismatch")</f>
        <v/>
      </c>
    </row>
    <row r="7">
      <c r="A7" s="17" t="inlineStr">
        <is>
          <t>S00252</t>
        </is>
      </c>
      <c r="B7" s="17" t="inlineStr">
        <is>
          <t>P7067</t>
        </is>
      </c>
      <c r="C7" s="17" t="inlineStr">
        <is>
          <t>jackbarnes</t>
        </is>
      </c>
      <c r="D7" s="17" t="inlineStr">
        <is>
          <t>Empire Wars</t>
        </is>
      </c>
      <c r="E7" s="17" t="inlineStr">
        <is>
          <t>Console</t>
        </is>
      </c>
      <c r="F7" s="17" t="inlineStr">
        <is>
          <t>North</t>
        </is>
      </c>
      <c r="G7" s="18" t="n">
        <v>45639</v>
      </c>
      <c r="H7" s="17" t="n">
        <v>177</v>
      </c>
      <c r="I7" s="17" t="n">
        <v>0</v>
      </c>
      <c r="J7" s="17" t="inlineStr">
        <is>
          <t>No Purchase</t>
        </is>
      </c>
      <c r="K7" s="17" t="inlineStr">
        <is>
          <t>Completed</t>
        </is>
      </c>
      <c r="L7" s="17" t="inlineStr">
        <is>
          <t>Free</t>
        </is>
      </c>
      <c r="M7" s="17" t="n">
        <v>25</v>
      </c>
      <c r="N7" s="17" t="inlineStr">
        <is>
          <t>Yes</t>
        </is>
      </c>
      <c r="O7" s="17">
        <f>TEXT(G7,"yyyy-mm")</f>
        <v/>
      </c>
      <c r="P7" s="17">
        <f>IF(H7&lt;20,"Low",IF(H7&lt;=60,"Medium","High"))</f>
        <v/>
      </c>
      <c r="Q7" s="17">
        <f>IF(I7&gt;0,"Yes","No")</f>
        <v/>
      </c>
      <c r="R7" s="17">
        <f>IF(N7="Yes",1,0)</f>
        <v/>
      </c>
      <c r="S7" s="17">
        <f>IF(N7=IF(OR(H7&gt;150,I7&gt;40),"Yes","No"),"Match","Mismatch")</f>
        <v/>
      </c>
    </row>
    <row r="8">
      <c r="A8" s="17" t="inlineStr">
        <is>
          <t>S00209</t>
        </is>
      </c>
      <c r="B8" s="17" t="inlineStr">
        <is>
          <t>P6903</t>
        </is>
      </c>
      <c r="C8" s="17" t="inlineStr">
        <is>
          <t>selliott</t>
        </is>
      </c>
      <c r="D8" s="17" t="inlineStr">
        <is>
          <t>Empire Wars</t>
        </is>
      </c>
      <c r="E8" s="17" t="inlineStr">
        <is>
          <t>Mobile</t>
        </is>
      </c>
      <c r="F8" s="17" t="inlineStr">
        <is>
          <t>North-East</t>
        </is>
      </c>
      <c r="G8" s="18" t="n">
        <v>45641</v>
      </c>
      <c r="H8" s="17" t="n">
        <v>109</v>
      </c>
      <c r="I8" s="17" t="n">
        <v>0</v>
      </c>
      <c r="J8" s="17" t="inlineStr">
        <is>
          <t>No Purchase</t>
        </is>
      </c>
      <c r="K8" s="17" t="inlineStr">
        <is>
          <t>Completed</t>
        </is>
      </c>
      <c r="L8" s="17" t="inlineStr">
        <is>
          <t>Free</t>
        </is>
      </c>
      <c r="M8" s="17" t="n">
        <v>15</v>
      </c>
      <c r="N8" s="17" t="inlineStr">
        <is>
          <t>No</t>
        </is>
      </c>
      <c r="O8" s="17">
        <f>TEXT(G8,"yyyy-mm")</f>
        <v/>
      </c>
      <c r="P8" s="17">
        <f>IF(H8&lt;20,"Low",IF(H8&lt;=60,"Medium","High"))</f>
        <v/>
      </c>
      <c r="Q8" s="17">
        <f>IF(I8&gt;0,"Yes","No")</f>
        <v/>
      </c>
      <c r="R8" s="17">
        <f>IF(N8="Yes",1,0)</f>
        <v/>
      </c>
      <c r="S8" s="17">
        <f>IF(N8=IF(OR(H8&gt;150,I8&gt;40),"Yes","No"),"Match","Mismatch")</f>
        <v/>
      </c>
    </row>
    <row r="9">
      <c r="A9" s="17" t="inlineStr">
        <is>
          <t>S00431</t>
        </is>
      </c>
      <c r="B9" s="17" t="inlineStr">
        <is>
          <t>P7163</t>
        </is>
      </c>
      <c r="C9" s="17" t="inlineStr">
        <is>
          <t>emilynelson</t>
        </is>
      </c>
      <c r="D9" s="17" t="inlineStr">
        <is>
          <t>Zombie Rush</t>
        </is>
      </c>
      <c r="E9" s="17" t="inlineStr">
        <is>
          <t>Console</t>
        </is>
      </c>
      <c r="F9" s="17" t="inlineStr">
        <is>
          <t>South</t>
        </is>
      </c>
      <c r="G9" s="18" t="n">
        <v>45641</v>
      </c>
      <c r="H9" s="17" t="n">
        <v>159</v>
      </c>
      <c r="I9" s="17" t="n">
        <v>0</v>
      </c>
      <c r="J9" s="17" t="inlineStr">
        <is>
          <t>No Purchase</t>
        </is>
      </c>
      <c r="K9" s="17" t="inlineStr">
        <is>
          <t>Completed</t>
        </is>
      </c>
      <c r="L9" s="17" t="inlineStr">
        <is>
          <t>Free</t>
        </is>
      </c>
      <c r="M9" s="17" t="n">
        <v>14</v>
      </c>
      <c r="N9" s="17" t="inlineStr">
        <is>
          <t>Yes</t>
        </is>
      </c>
      <c r="O9" s="17">
        <f>TEXT(G9,"yyyy-mm")</f>
        <v/>
      </c>
      <c r="P9" s="17">
        <f>IF(H9&lt;20,"Low",IF(H9&lt;=60,"Medium","High"))</f>
        <v/>
      </c>
      <c r="Q9" s="17">
        <f>IF(I9&gt;0,"Yes","No")</f>
        <v/>
      </c>
      <c r="R9" s="17">
        <f>IF(N9="Yes",1,0)</f>
        <v/>
      </c>
      <c r="S9" s="17">
        <f>IF(N9=IF(OR(H9&gt;150,I9&gt;40),"Yes","No"),"Match","Mismatch")</f>
        <v/>
      </c>
    </row>
    <row r="10">
      <c r="A10" s="17" t="inlineStr">
        <is>
          <t>S00325</t>
        </is>
      </c>
      <c r="B10" s="17" t="inlineStr">
        <is>
          <t>P2254</t>
        </is>
      </c>
      <c r="C10" s="17" t="inlineStr">
        <is>
          <t>gerald82</t>
        </is>
      </c>
      <c r="D10" s="17" t="inlineStr">
        <is>
          <t>Clash of Realms</t>
        </is>
      </c>
      <c r="E10" s="17" t="inlineStr">
        <is>
          <t>Console</t>
        </is>
      </c>
      <c r="F10" s="17" t="inlineStr">
        <is>
          <t>South</t>
        </is>
      </c>
      <c r="G10" s="18" t="n">
        <v>45641</v>
      </c>
      <c r="H10" s="17" t="n">
        <v>175</v>
      </c>
      <c r="I10" s="17" t="n">
        <v>0</v>
      </c>
      <c r="J10" s="17" t="inlineStr">
        <is>
          <t>No Purchase</t>
        </is>
      </c>
      <c r="K10" s="17" t="inlineStr">
        <is>
          <t>Crashed</t>
        </is>
      </c>
      <c r="L10" s="17" t="inlineStr">
        <is>
          <t>Paid</t>
        </is>
      </c>
      <c r="M10" s="17" t="n">
        <v>10</v>
      </c>
      <c r="N10" s="17" t="inlineStr">
        <is>
          <t>Yes</t>
        </is>
      </c>
      <c r="O10" s="17">
        <f>TEXT(G10,"yyyy-mm")</f>
        <v/>
      </c>
      <c r="P10" s="17">
        <f>IF(H10&lt;20,"Low",IF(H10&lt;=60,"Medium","High"))</f>
        <v/>
      </c>
      <c r="Q10" s="17">
        <f>IF(I10&gt;0,"Yes","No")</f>
        <v/>
      </c>
      <c r="R10" s="17">
        <f>IF(N10="Yes",1,0)</f>
        <v/>
      </c>
      <c r="S10" s="17">
        <f>IF(N10=IF(OR(H10&gt;150,I10&gt;40),"Yes","No"),"Match","Mismatch")</f>
        <v/>
      </c>
    </row>
    <row r="11">
      <c r="A11" s="17" t="inlineStr">
        <is>
          <t>S00002</t>
        </is>
      </c>
      <c r="B11" s="17" t="inlineStr">
        <is>
          <t>P9981</t>
        </is>
      </c>
      <c r="C11" s="17" t="inlineStr">
        <is>
          <t>wlee</t>
        </is>
      </c>
      <c r="D11" s="17" t="inlineStr">
        <is>
          <t>Zombie Rush</t>
        </is>
      </c>
      <c r="E11" s="17" t="inlineStr">
        <is>
          <t>Mobile</t>
        </is>
      </c>
      <c r="F11" s="17" t="inlineStr">
        <is>
          <t>Central</t>
        </is>
      </c>
      <c r="G11" s="18" t="n">
        <v>45642</v>
      </c>
      <c r="H11" s="17" t="n">
        <v>75</v>
      </c>
      <c r="I11" s="17" t="n">
        <v>26.02</v>
      </c>
      <c r="J11" s="17" t="inlineStr">
        <is>
          <t>Boosters</t>
        </is>
      </c>
      <c r="K11" s="17" t="inlineStr">
        <is>
          <t>Completed</t>
        </is>
      </c>
      <c r="L11" s="17" t="inlineStr">
        <is>
          <t>Paid</t>
        </is>
      </c>
      <c r="M11" s="17" t="n">
        <v>11</v>
      </c>
      <c r="N11" s="17" t="inlineStr">
        <is>
          <t>No</t>
        </is>
      </c>
      <c r="O11" s="17">
        <f>TEXT(G11,"yyyy-mm")</f>
        <v/>
      </c>
      <c r="P11" s="17">
        <f>IF(H11&lt;20,"Low",IF(H11&lt;=60,"Medium","High"))</f>
        <v/>
      </c>
      <c r="Q11" s="17">
        <f>IF(I11&gt;0,"Yes","No")</f>
        <v/>
      </c>
      <c r="R11" s="17">
        <f>IF(N11="Yes",1,0)</f>
        <v/>
      </c>
      <c r="S11" s="17">
        <f>IF(N11=IF(OR(H11&gt;150,I11&gt;40),"Yes","No"),"Match","Mismatch")</f>
        <v/>
      </c>
    </row>
    <row r="12">
      <c r="A12" s="17" t="inlineStr">
        <is>
          <t>S00041</t>
        </is>
      </c>
      <c r="B12" s="17" t="inlineStr">
        <is>
          <t>P2707</t>
        </is>
      </c>
      <c r="C12" s="17" t="inlineStr">
        <is>
          <t>tpark</t>
        </is>
      </c>
      <c r="D12" s="17" t="inlineStr">
        <is>
          <t>Empire Wars</t>
        </is>
      </c>
      <c r="E12" s="17" t="inlineStr">
        <is>
          <t>PC</t>
        </is>
      </c>
      <c r="F12" s="17" t="inlineStr">
        <is>
          <t>South</t>
        </is>
      </c>
      <c r="G12" s="18" t="n">
        <v>45642</v>
      </c>
      <c r="H12" s="17" t="n">
        <v>49</v>
      </c>
      <c r="I12" s="17" t="n">
        <v>0</v>
      </c>
      <c r="J12" s="17" t="inlineStr">
        <is>
          <t>No Purchase</t>
        </is>
      </c>
      <c r="K12" s="17" t="inlineStr">
        <is>
          <t>Completed</t>
        </is>
      </c>
      <c r="L12" s="17" t="inlineStr">
        <is>
          <t>Free</t>
        </is>
      </c>
      <c r="M12" s="17" t="n">
        <v>9</v>
      </c>
      <c r="N12" s="17" t="inlineStr">
        <is>
          <t>No</t>
        </is>
      </c>
      <c r="O12" s="17">
        <f>TEXT(G12,"yyyy-mm")</f>
        <v/>
      </c>
      <c r="P12" s="17">
        <f>IF(H12&lt;20,"Low",IF(H12&lt;=60,"Medium","High"))</f>
        <v/>
      </c>
      <c r="Q12" s="17">
        <f>IF(I12&gt;0,"Yes","No")</f>
        <v/>
      </c>
      <c r="R12" s="17">
        <f>IF(N12="Yes",1,0)</f>
        <v/>
      </c>
      <c r="S12" s="17">
        <f>IF(N12=IF(OR(H12&gt;150,I12&gt;40),"Yes","No"),"Match","Mismatch")</f>
        <v/>
      </c>
    </row>
    <row r="13">
      <c r="A13" s="17" t="inlineStr">
        <is>
          <t>S00219</t>
        </is>
      </c>
      <c r="B13" s="17" t="inlineStr">
        <is>
          <t>P3673</t>
        </is>
      </c>
      <c r="C13" s="17" t="inlineStr">
        <is>
          <t>davisdevin</t>
        </is>
      </c>
      <c r="D13" s="17" t="inlineStr">
        <is>
          <t>BattleZone</t>
        </is>
      </c>
      <c r="E13" s="17" t="inlineStr">
        <is>
          <t>Mobile</t>
        </is>
      </c>
      <c r="F13" s="17" t="inlineStr">
        <is>
          <t>West</t>
        </is>
      </c>
      <c r="G13" s="18" t="n">
        <v>45642</v>
      </c>
      <c r="H13" s="17" t="n">
        <v>114</v>
      </c>
      <c r="I13" s="17" t="n">
        <v>5.31</v>
      </c>
      <c r="J13" s="17" t="inlineStr">
        <is>
          <t>Boosters</t>
        </is>
      </c>
      <c r="K13" s="17" t="inlineStr">
        <is>
          <t>Completed</t>
        </is>
      </c>
      <c r="L13" s="17" t="inlineStr">
        <is>
          <t>Paid</t>
        </is>
      </c>
      <c r="M13" s="17" t="n">
        <v>9</v>
      </c>
      <c r="N13" s="17" t="inlineStr">
        <is>
          <t>No</t>
        </is>
      </c>
      <c r="O13" s="17">
        <f>TEXT(G13,"yyyy-mm")</f>
        <v/>
      </c>
      <c r="P13" s="17">
        <f>IF(H13&lt;20,"Low",IF(H13&lt;=60,"Medium","High"))</f>
        <v/>
      </c>
      <c r="Q13" s="17">
        <f>IF(I13&gt;0,"Yes","No")</f>
        <v/>
      </c>
      <c r="R13" s="17">
        <f>IF(N13="Yes",1,0)</f>
        <v/>
      </c>
      <c r="S13" s="17">
        <f>IF(N13=IF(OR(H13&gt;150,I13&gt;40),"Yes","No"),"Match","Mismatch")</f>
        <v/>
      </c>
    </row>
    <row r="14">
      <c r="A14" s="17" t="inlineStr">
        <is>
          <t>S00047</t>
        </is>
      </c>
      <c r="B14" s="17" t="inlineStr">
        <is>
          <t>P2125</t>
        </is>
      </c>
      <c r="C14" s="17" t="inlineStr">
        <is>
          <t>jlane</t>
        </is>
      </c>
      <c r="D14" s="17" t="inlineStr">
        <is>
          <t>Clash of Realms</t>
        </is>
      </c>
      <c r="E14" s="17" t="inlineStr">
        <is>
          <t>Mobile</t>
        </is>
      </c>
      <c r="F14" s="17" t="inlineStr">
        <is>
          <t>West</t>
        </is>
      </c>
      <c r="G14" s="18" t="n">
        <v>45643</v>
      </c>
      <c r="H14" s="17" t="n">
        <v>27</v>
      </c>
      <c r="I14" s="17" t="n">
        <v>0</v>
      </c>
      <c r="J14" s="17" t="inlineStr">
        <is>
          <t>No Purchase</t>
        </is>
      </c>
      <c r="K14" s="17" t="inlineStr">
        <is>
          <t>Completed</t>
        </is>
      </c>
      <c r="L14" s="17" t="inlineStr">
        <is>
          <t>Free</t>
        </is>
      </c>
      <c r="M14" s="17" t="n">
        <v>19</v>
      </c>
      <c r="N14" s="17" t="inlineStr">
        <is>
          <t>No</t>
        </is>
      </c>
      <c r="O14" s="17">
        <f>TEXT(G14,"yyyy-mm")</f>
        <v/>
      </c>
      <c r="P14" s="17">
        <f>IF(H14&lt;20,"Low",IF(H14&lt;=60,"Medium","High"))</f>
        <v/>
      </c>
      <c r="Q14" s="17">
        <f>IF(I14&gt;0,"Yes","No")</f>
        <v/>
      </c>
      <c r="R14" s="17">
        <f>IF(N14="Yes",1,0)</f>
        <v/>
      </c>
      <c r="S14" s="17">
        <f>IF(N14=IF(OR(H14&gt;150,I14&gt;40),"Yes","No"),"Match","Mismatch")</f>
        <v/>
      </c>
    </row>
    <row r="15">
      <c r="A15" s="17" t="inlineStr">
        <is>
          <t>S00003</t>
        </is>
      </c>
      <c r="B15" s="17" t="inlineStr">
        <is>
          <t>P5280</t>
        </is>
      </c>
      <c r="C15" s="17" t="inlineStr">
        <is>
          <t>katie47</t>
        </is>
      </c>
      <c r="D15" s="17" t="inlineStr">
        <is>
          <t>SpeedX</t>
        </is>
      </c>
      <c r="E15" s="17" t="inlineStr">
        <is>
          <t>Console</t>
        </is>
      </c>
      <c r="F15" s="17" t="inlineStr">
        <is>
          <t>East</t>
        </is>
      </c>
      <c r="G15" s="18" t="n">
        <v>45643</v>
      </c>
      <c r="H15" s="17" t="n">
        <v>36</v>
      </c>
      <c r="I15" s="17" t="n">
        <v>2.94</v>
      </c>
      <c r="J15" s="17" t="inlineStr">
        <is>
          <t>Subscriptions</t>
        </is>
      </c>
      <c r="K15" s="17" t="inlineStr">
        <is>
          <t>Completed</t>
        </is>
      </c>
      <c r="L15" s="17" t="inlineStr">
        <is>
          <t>Paid</t>
        </is>
      </c>
      <c r="M15" s="17" t="n">
        <v>4</v>
      </c>
      <c r="N15" s="17" t="inlineStr">
        <is>
          <t>No</t>
        </is>
      </c>
      <c r="O15" s="17">
        <f>TEXT(G15,"yyyy-mm")</f>
        <v/>
      </c>
      <c r="P15" s="17">
        <f>IF(H15&lt;20,"Low",IF(H15&lt;=60,"Medium","High"))</f>
        <v/>
      </c>
      <c r="Q15" s="17">
        <f>IF(I15&gt;0,"Yes","No")</f>
        <v/>
      </c>
      <c r="R15" s="17">
        <f>IF(N15="Yes",1,0)</f>
        <v/>
      </c>
      <c r="S15" s="17">
        <f>IF(N15=IF(OR(H15&gt;150,I15&gt;40),"Yes","No"),"Match","Mismatch")</f>
        <v/>
      </c>
    </row>
    <row r="16">
      <c r="A16" s="17" t="inlineStr">
        <is>
          <t>S00422</t>
        </is>
      </c>
      <c r="B16" s="17" t="inlineStr">
        <is>
          <t>P9334</t>
        </is>
      </c>
      <c r="C16" s="17" t="inlineStr">
        <is>
          <t>samantha20</t>
        </is>
      </c>
      <c r="D16" s="17" t="inlineStr">
        <is>
          <t>Empire Wars</t>
        </is>
      </c>
      <c r="E16" s="17" t="inlineStr">
        <is>
          <t>Mobile</t>
        </is>
      </c>
      <c r="F16" s="17" t="inlineStr">
        <is>
          <t>South</t>
        </is>
      </c>
      <c r="G16" s="18" t="n">
        <v>45643</v>
      </c>
      <c r="H16" s="17" t="n">
        <v>92</v>
      </c>
      <c r="I16" s="17" t="n">
        <v>0</v>
      </c>
      <c r="J16" s="17" t="inlineStr">
        <is>
          <t>No Purchase</t>
        </is>
      </c>
      <c r="K16" s="17" t="inlineStr">
        <is>
          <t>Completed</t>
        </is>
      </c>
      <c r="L16" s="17" t="inlineStr">
        <is>
          <t>Paid</t>
        </is>
      </c>
      <c r="M16" s="17" t="n">
        <v>31</v>
      </c>
      <c r="N16" s="17" t="inlineStr">
        <is>
          <t>No</t>
        </is>
      </c>
      <c r="O16" s="17">
        <f>TEXT(G16,"yyyy-mm")</f>
        <v/>
      </c>
      <c r="P16" s="17">
        <f>IF(H16&lt;20,"Low",IF(H16&lt;=60,"Medium","High"))</f>
        <v/>
      </c>
      <c r="Q16" s="17">
        <f>IF(I16&gt;0,"Yes","No")</f>
        <v/>
      </c>
      <c r="R16" s="17">
        <f>IF(N16="Yes",1,0)</f>
        <v/>
      </c>
      <c r="S16" s="17">
        <f>IF(N16=IF(OR(H16&gt;150,I16&gt;40),"Yes","No"),"Match","Mismatch")</f>
        <v/>
      </c>
    </row>
    <row r="17">
      <c r="A17" s="17" t="inlineStr">
        <is>
          <t>S00114</t>
        </is>
      </c>
      <c r="B17" s="17" t="inlineStr">
        <is>
          <t>P2615</t>
        </is>
      </c>
      <c r="C17" s="17" t="inlineStr">
        <is>
          <t>melissa89</t>
        </is>
      </c>
      <c r="D17" s="17" t="inlineStr">
        <is>
          <t>Zombie Rush</t>
        </is>
      </c>
      <c r="E17" s="17" t="inlineStr">
        <is>
          <t>Mobile</t>
        </is>
      </c>
      <c r="F17" s="17" t="inlineStr">
        <is>
          <t>Central</t>
        </is>
      </c>
      <c r="G17" s="18" t="n">
        <v>45644</v>
      </c>
      <c r="H17" s="17" t="n">
        <v>89</v>
      </c>
      <c r="I17" s="17" t="n">
        <v>30.92</v>
      </c>
      <c r="J17" s="17" t="inlineStr">
        <is>
          <t>Boosters</t>
        </is>
      </c>
      <c r="K17" s="17" t="inlineStr">
        <is>
          <t>Completed</t>
        </is>
      </c>
      <c r="L17" s="17" t="inlineStr">
        <is>
          <t>Paid</t>
        </is>
      </c>
      <c r="M17" s="17" t="n">
        <v>48</v>
      </c>
      <c r="N17" s="17" t="inlineStr">
        <is>
          <t>No</t>
        </is>
      </c>
      <c r="O17" s="17">
        <f>TEXT(G17,"yyyy-mm")</f>
        <v/>
      </c>
      <c r="P17" s="17">
        <f>IF(H17&lt;20,"Low",IF(H17&lt;=60,"Medium","High"))</f>
        <v/>
      </c>
      <c r="Q17" s="17">
        <f>IF(I17&gt;0,"Yes","No")</f>
        <v/>
      </c>
      <c r="R17" s="17">
        <f>IF(N17="Yes",1,0)</f>
        <v/>
      </c>
      <c r="S17" s="17">
        <f>IF(N17=IF(OR(H17&gt;150,I17&gt;40),"Yes","No"),"Match","Mismatch")</f>
        <v/>
      </c>
    </row>
    <row r="18">
      <c r="A18" s="17" t="inlineStr">
        <is>
          <t>S00132</t>
        </is>
      </c>
      <c r="B18" s="17" t="inlineStr">
        <is>
          <t>P2180</t>
        </is>
      </c>
      <c r="C18" s="17" t="inlineStr">
        <is>
          <t>briansteele</t>
        </is>
      </c>
      <c r="D18" s="17" t="inlineStr">
        <is>
          <t>Zombie Rush</t>
        </is>
      </c>
      <c r="E18" s="17" t="inlineStr">
        <is>
          <t>Console</t>
        </is>
      </c>
      <c r="F18" s="17" t="inlineStr">
        <is>
          <t>North-East</t>
        </is>
      </c>
      <c r="G18" s="18" t="n">
        <v>45644</v>
      </c>
      <c r="H18" s="17" t="n">
        <v>95</v>
      </c>
      <c r="I18" s="17" t="n">
        <v>0</v>
      </c>
      <c r="J18" s="17" t="inlineStr">
        <is>
          <t>No Purchase</t>
        </is>
      </c>
      <c r="K18" s="17" t="inlineStr">
        <is>
          <t>Completed</t>
        </is>
      </c>
      <c r="L18" s="17" t="inlineStr">
        <is>
          <t>Free</t>
        </is>
      </c>
      <c r="M18" s="17" t="n">
        <v>20</v>
      </c>
      <c r="N18" s="17" t="inlineStr">
        <is>
          <t>No</t>
        </is>
      </c>
      <c r="O18" s="17">
        <f>TEXT(G18,"yyyy-mm")</f>
        <v/>
      </c>
      <c r="P18" s="17">
        <f>IF(H18&lt;20,"Low",IF(H18&lt;=60,"Medium","High"))</f>
        <v/>
      </c>
      <c r="Q18" s="17">
        <f>IF(I18&gt;0,"Yes","No")</f>
        <v/>
      </c>
      <c r="R18" s="17">
        <f>IF(N18="Yes",1,0)</f>
        <v/>
      </c>
      <c r="S18" s="17">
        <f>IF(N18=IF(OR(H18&gt;150,I18&gt;40),"Yes","No"),"Match","Mismatch")</f>
        <v/>
      </c>
    </row>
    <row r="19">
      <c r="A19" s="17" t="inlineStr">
        <is>
          <t>S00186</t>
        </is>
      </c>
      <c r="B19" s="17" t="inlineStr">
        <is>
          <t>P7900</t>
        </is>
      </c>
      <c r="C19" s="17" t="inlineStr">
        <is>
          <t>colinmartinez</t>
        </is>
      </c>
      <c r="D19" s="17" t="inlineStr">
        <is>
          <t>SpeedX</t>
        </is>
      </c>
      <c r="E19" s="17" t="inlineStr">
        <is>
          <t>PC</t>
        </is>
      </c>
      <c r="F19" s="17" t="inlineStr">
        <is>
          <t>West</t>
        </is>
      </c>
      <c r="G19" s="18" t="n">
        <v>45644</v>
      </c>
      <c r="H19" s="17" t="n">
        <v>30</v>
      </c>
      <c r="I19" s="17" t="n">
        <v>27.43</v>
      </c>
      <c r="J19" s="17" t="inlineStr">
        <is>
          <t>Subscriptions</t>
        </is>
      </c>
      <c r="K19" s="17" t="inlineStr">
        <is>
          <t>Completed</t>
        </is>
      </c>
      <c r="L19" s="17" t="inlineStr">
        <is>
          <t>Paid</t>
        </is>
      </c>
      <c r="M19" s="17" t="n">
        <v>1</v>
      </c>
      <c r="N19" s="17" t="inlineStr">
        <is>
          <t>No</t>
        </is>
      </c>
      <c r="O19" s="17">
        <f>TEXT(G19,"yyyy-mm")</f>
        <v/>
      </c>
      <c r="P19" s="17">
        <f>IF(H19&lt;20,"Low",IF(H19&lt;=60,"Medium","High"))</f>
        <v/>
      </c>
      <c r="Q19" s="17">
        <f>IF(I19&gt;0,"Yes","No")</f>
        <v/>
      </c>
      <c r="R19" s="17">
        <f>IF(N19="Yes",1,0)</f>
        <v/>
      </c>
      <c r="S19" s="17">
        <f>IF(N19=IF(OR(H19&gt;150,I19&gt;40),"Yes","No"),"Match","Mismatch")</f>
        <v/>
      </c>
    </row>
    <row r="20">
      <c r="A20" s="17" t="inlineStr">
        <is>
          <t>S00298</t>
        </is>
      </c>
      <c r="B20" s="17" t="inlineStr">
        <is>
          <t>P1898</t>
        </is>
      </c>
      <c r="C20" s="17" t="inlineStr">
        <is>
          <t>yperez</t>
        </is>
      </c>
      <c r="D20" s="17" t="inlineStr">
        <is>
          <t>SpeedX</t>
        </is>
      </c>
      <c r="E20" s="17" t="inlineStr">
        <is>
          <t>PC</t>
        </is>
      </c>
      <c r="F20" s="17" t="inlineStr">
        <is>
          <t>East</t>
        </is>
      </c>
      <c r="G20" s="18" t="n">
        <v>45644</v>
      </c>
      <c r="H20" s="17" t="n">
        <v>174</v>
      </c>
      <c r="I20" s="17" t="n">
        <v>0</v>
      </c>
      <c r="J20" s="17" t="inlineStr">
        <is>
          <t>No Purchase</t>
        </is>
      </c>
      <c r="K20" s="17" t="inlineStr">
        <is>
          <t>Exited Early</t>
        </is>
      </c>
      <c r="L20" s="17" t="inlineStr">
        <is>
          <t>Free</t>
        </is>
      </c>
      <c r="M20" s="17" t="n">
        <v>50</v>
      </c>
      <c r="N20" s="17" t="inlineStr">
        <is>
          <t>Yes</t>
        </is>
      </c>
      <c r="O20" s="17">
        <f>TEXT(G20,"yyyy-mm")</f>
        <v/>
      </c>
      <c r="P20" s="17">
        <f>IF(H20&lt;20,"Low",IF(H20&lt;=60,"Medium","High"))</f>
        <v/>
      </c>
      <c r="Q20" s="17">
        <f>IF(I20&gt;0,"Yes","No")</f>
        <v/>
      </c>
      <c r="R20" s="17">
        <f>IF(N20="Yes",1,0)</f>
        <v/>
      </c>
      <c r="S20" s="17">
        <f>IF(N20=IF(OR(H20&gt;150,I20&gt;40),"Yes","No"),"Match","Mismatch")</f>
        <v/>
      </c>
    </row>
    <row r="21">
      <c r="A21" s="17" t="inlineStr">
        <is>
          <t>S00052</t>
        </is>
      </c>
      <c r="B21" s="17" t="inlineStr">
        <is>
          <t>P8266</t>
        </is>
      </c>
      <c r="C21" s="17" t="inlineStr">
        <is>
          <t>cynthiapoole</t>
        </is>
      </c>
      <c r="D21" s="17" t="inlineStr">
        <is>
          <t>Zombie Rush</t>
        </is>
      </c>
      <c r="E21" s="17" t="inlineStr">
        <is>
          <t>PC</t>
        </is>
      </c>
      <c r="F21" s="17" t="inlineStr">
        <is>
          <t>East</t>
        </is>
      </c>
      <c r="G21" s="18" t="n">
        <v>45645</v>
      </c>
      <c r="H21" s="17" t="n">
        <v>108</v>
      </c>
      <c r="I21" s="17" t="n">
        <v>0</v>
      </c>
      <c r="J21" s="17" t="inlineStr">
        <is>
          <t>No Purchase</t>
        </is>
      </c>
      <c r="K21" s="17" t="inlineStr">
        <is>
          <t>Completed</t>
        </is>
      </c>
      <c r="L21" s="17" t="inlineStr">
        <is>
          <t>Free</t>
        </is>
      </c>
      <c r="M21" s="17" t="n">
        <v>35</v>
      </c>
      <c r="N21" s="17" t="inlineStr">
        <is>
          <t>No</t>
        </is>
      </c>
      <c r="O21" s="17">
        <f>TEXT(G21,"yyyy-mm")</f>
        <v/>
      </c>
      <c r="P21" s="17">
        <f>IF(H21&lt;20,"Low",IF(H21&lt;=60,"Medium","High"))</f>
        <v/>
      </c>
      <c r="Q21" s="17">
        <f>IF(I21&gt;0,"Yes","No")</f>
        <v/>
      </c>
      <c r="R21" s="17">
        <f>IF(N21="Yes",1,0)</f>
        <v/>
      </c>
      <c r="S21" s="17">
        <f>IF(N21=IF(OR(H21&gt;150,I21&gt;40),"Yes","No"),"Match","Mismatch")</f>
        <v/>
      </c>
    </row>
    <row r="22">
      <c r="A22" s="17" t="inlineStr">
        <is>
          <t>S00428</t>
        </is>
      </c>
      <c r="B22" s="17" t="inlineStr">
        <is>
          <t>P5582</t>
        </is>
      </c>
      <c r="C22" s="17" t="inlineStr">
        <is>
          <t>jennifer94</t>
        </is>
      </c>
      <c r="D22" s="17" t="inlineStr">
        <is>
          <t>Zombie Rush</t>
        </is>
      </c>
      <c r="E22" s="17" t="inlineStr">
        <is>
          <t>Console</t>
        </is>
      </c>
      <c r="F22" s="17" t="inlineStr">
        <is>
          <t>West</t>
        </is>
      </c>
      <c r="G22" s="18" t="n">
        <v>45645</v>
      </c>
      <c r="H22" s="17" t="n">
        <v>9</v>
      </c>
      <c r="I22" s="17" t="n">
        <v>0</v>
      </c>
      <c r="J22" s="17" t="inlineStr">
        <is>
          <t>No Purchase</t>
        </is>
      </c>
      <c r="K22" s="17" t="inlineStr">
        <is>
          <t>Incomplete</t>
        </is>
      </c>
      <c r="L22" s="17" t="inlineStr">
        <is>
          <t>Free</t>
        </is>
      </c>
      <c r="M22" s="17" t="n">
        <v>23</v>
      </c>
      <c r="N22" s="17" t="inlineStr">
        <is>
          <t>No</t>
        </is>
      </c>
      <c r="O22" s="17">
        <f>TEXT(G22,"yyyy-mm")</f>
        <v/>
      </c>
      <c r="P22" s="17">
        <f>IF(H22&lt;20,"Low",IF(H22&lt;=60,"Medium","High"))</f>
        <v/>
      </c>
      <c r="Q22" s="17">
        <f>IF(I22&gt;0,"Yes","No")</f>
        <v/>
      </c>
      <c r="R22" s="17">
        <f>IF(N22="Yes",1,0)</f>
        <v/>
      </c>
      <c r="S22" s="17">
        <f>IF(N22=IF(OR(H22&gt;150,I22&gt;40),"Yes","No"),"Match","Mismatch")</f>
        <v/>
      </c>
    </row>
    <row r="23">
      <c r="A23" s="17" t="inlineStr">
        <is>
          <t>S00436</t>
        </is>
      </c>
      <c r="B23" s="17" t="inlineStr">
        <is>
          <t>P9175</t>
        </is>
      </c>
      <c r="C23" s="17" t="inlineStr">
        <is>
          <t>gregbaker</t>
        </is>
      </c>
      <c r="D23" s="17" t="inlineStr">
        <is>
          <t>Zombie Rush</t>
        </is>
      </c>
      <c r="E23" s="17" t="inlineStr">
        <is>
          <t>Console</t>
        </is>
      </c>
      <c r="F23" s="17" t="inlineStr">
        <is>
          <t>West</t>
        </is>
      </c>
      <c r="G23" s="18" t="n">
        <v>45645</v>
      </c>
      <c r="H23" s="17" t="n">
        <v>176</v>
      </c>
      <c r="I23" s="17" t="n">
        <v>0</v>
      </c>
      <c r="J23" s="17" t="inlineStr">
        <is>
          <t>No Purchase</t>
        </is>
      </c>
      <c r="K23" s="17" t="inlineStr">
        <is>
          <t>Completed</t>
        </is>
      </c>
      <c r="L23" s="17" t="inlineStr">
        <is>
          <t>Free</t>
        </is>
      </c>
      <c r="M23" s="17" t="n">
        <v>18</v>
      </c>
      <c r="N23" s="17" t="inlineStr">
        <is>
          <t>Yes</t>
        </is>
      </c>
      <c r="O23" s="17">
        <f>TEXT(G23,"yyyy-mm")</f>
        <v/>
      </c>
      <c r="P23" s="17">
        <f>IF(H23&lt;20,"Low",IF(H23&lt;=60,"Medium","High"))</f>
        <v/>
      </c>
      <c r="Q23" s="17">
        <f>IF(I23&gt;0,"Yes","No")</f>
        <v/>
      </c>
      <c r="R23" s="17">
        <f>IF(N23="Yes",1,0)</f>
        <v/>
      </c>
      <c r="S23" s="17">
        <f>IF(N23=IF(OR(H23&gt;150,I23&gt;40),"Yes","No"),"Match","Mismatch")</f>
        <v/>
      </c>
    </row>
    <row r="24">
      <c r="A24" s="17" t="inlineStr">
        <is>
          <t>S00093</t>
        </is>
      </c>
      <c r="B24" s="17" t="inlineStr">
        <is>
          <t>P5817</t>
        </is>
      </c>
      <c r="C24" s="17" t="inlineStr">
        <is>
          <t>cynthiasimmons</t>
        </is>
      </c>
      <c r="D24" s="17" t="inlineStr">
        <is>
          <t>BattleZone</t>
        </is>
      </c>
      <c r="E24" s="17" t="inlineStr">
        <is>
          <t>Mobile</t>
        </is>
      </c>
      <c r="F24" s="17" t="inlineStr">
        <is>
          <t>North</t>
        </is>
      </c>
      <c r="G24" s="18" t="n">
        <v>45646</v>
      </c>
      <c r="H24" s="17" t="n">
        <v>154</v>
      </c>
      <c r="I24" s="17" t="n">
        <v>0</v>
      </c>
      <c r="J24" s="17" t="inlineStr">
        <is>
          <t>No Purchase</t>
        </is>
      </c>
      <c r="K24" s="17" t="inlineStr">
        <is>
          <t>Completed</t>
        </is>
      </c>
      <c r="L24" s="17" t="inlineStr">
        <is>
          <t>Free</t>
        </is>
      </c>
      <c r="M24" s="17" t="n">
        <v>11</v>
      </c>
      <c r="N24" s="17" t="inlineStr">
        <is>
          <t>Yes</t>
        </is>
      </c>
      <c r="O24" s="17">
        <f>TEXT(G24,"yyyy-mm")</f>
        <v/>
      </c>
      <c r="P24" s="17">
        <f>IF(H24&lt;20,"Low",IF(H24&lt;=60,"Medium","High"))</f>
        <v/>
      </c>
      <c r="Q24" s="17">
        <f>IF(I24&gt;0,"Yes","No")</f>
        <v/>
      </c>
      <c r="R24" s="17">
        <f>IF(N24="Yes",1,0)</f>
        <v/>
      </c>
      <c r="S24" s="17">
        <f>IF(N24=IF(OR(H24&gt;150,I24&gt;40),"Yes","No"),"Match","Mismatch")</f>
        <v/>
      </c>
    </row>
    <row r="25">
      <c r="A25" s="17" t="inlineStr">
        <is>
          <t>S00255</t>
        </is>
      </c>
      <c r="B25" s="17" t="inlineStr">
        <is>
          <t>P4616</t>
        </is>
      </c>
      <c r="C25" s="17" t="inlineStr">
        <is>
          <t>danieldonaldson</t>
        </is>
      </c>
      <c r="D25" s="17" t="inlineStr">
        <is>
          <t>Empire Wars</t>
        </is>
      </c>
      <c r="E25" s="17" t="inlineStr">
        <is>
          <t>PC</t>
        </is>
      </c>
      <c r="F25" s="17" t="inlineStr">
        <is>
          <t>West</t>
        </is>
      </c>
      <c r="G25" s="18" t="n">
        <v>45646</v>
      </c>
      <c r="H25" s="17" t="n">
        <v>72</v>
      </c>
      <c r="I25" s="17" t="n">
        <v>0</v>
      </c>
      <c r="J25" s="17" t="inlineStr">
        <is>
          <t>No Purchase</t>
        </is>
      </c>
      <c r="K25" s="17" t="inlineStr">
        <is>
          <t>Completed</t>
        </is>
      </c>
      <c r="L25" s="17" t="inlineStr">
        <is>
          <t>Free</t>
        </is>
      </c>
      <c r="M25" s="17" t="n">
        <v>34</v>
      </c>
      <c r="N25" s="17" t="inlineStr">
        <is>
          <t>No</t>
        </is>
      </c>
      <c r="O25" s="17">
        <f>TEXT(G25,"yyyy-mm")</f>
        <v/>
      </c>
      <c r="P25" s="17">
        <f>IF(H25&lt;20,"Low",IF(H25&lt;=60,"Medium","High"))</f>
        <v/>
      </c>
      <c r="Q25" s="17">
        <f>IF(I25&gt;0,"Yes","No")</f>
        <v/>
      </c>
      <c r="R25" s="17">
        <f>IF(N25="Yes",1,0)</f>
        <v/>
      </c>
      <c r="S25" s="17">
        <f>IF(N25=IF(OR(H25&gt;150,I25&gt;40),"Yes","No"),"Match","Mismatch")</f>
        <v/>
      </c>
    </row>
    <row r="26">
      <c r="A26" s="17" t="inlineStr">
        <is>
          <t>S00098</t>
        </is>
      </c>
      <c r="B26" s="17" t="inlineStr">
        <is>
          <t>P8252</t>
        </is>
      </c>
      <c r="C26" s="17" t="inlineStr">
        <is>
          <t>riggsbarbara</t>
        </is>
      </c>
      <c r="D26" s="17" t="inlineStr">
        <is>
          <t>SpeedX</t>
        </is>
      </c>
      <c r="E26" s="17" t="inlineStr">
        <is>
          <t>Console</t>
        </is>
      </c>
      <c r="F26" s="17" t="inlineStr">
        <is>
          <t>North-East</t>
        </is>
      </c>
      <c r="G26" s="18" t="n">
        <v>45646</v>
      </c>
      <c r="H26" s="17" t="n">
        <v>164</v>
      </c>
      <c r="I26" s="17" t="n">
        <v>0</v>
      </c>
      <c r="J26" s="17" t="inlineStr">
        <is>
          <t>No Purchase</t>
        </is>
      </c>
      <c r="K26" s="17" t="inlineStr">
        <is>
          <t>Completed</t>
        </is>
      </c>
      <c r="L26" s="17" t="inlineStr">
        <is>
          <t>Paid</t>
        </is>
      </c>
      <c r="M26" s="17" t="n">
        <v>19</v>
      </c>
      <c r="N26" s="17" t="inlineStr">
        <is>
          <t>Yes</t>
        </is>
      </c>
      <c r="O26" s="17">
        <f>TEXT(G26,"yyyy-mm")</f>
        <v/>
      </c>
      <c r="P26" s="17">
        <f>IF(H26&lt;20,"Low",IF(H26&lt;=60,"Medium","High"))</f>
        <v/>
      </c>
      <c r="Q26" s="17">
        <f>IF(I26&gt;0,"Yes","No")</f>
        <v/>
      </c>
      <c r="R26" s="17">
        <f>IF(N26="Yes",1,0)</f>
        <v/>
      </c>
      <c r="S26" s="17">
        <f>IF(N26=IF(OR(H26&gt;150,I26&gt;40),"Yes","No"),"Match","Mismatch")</f>
        <v/>
      </c>
    </row>
    <row r="27">
      <c r="A27" s="17" t="inlineStr">
        <is>
          <t>S00312</t>
        </is>
      </c>
      <c r="B27" s="17" t="inlineStr">
        <is>
          <t>P5060</t>
        </is>
      </c>
      <c r="C27" s="17" t="inlineStr">
        <is>
          <t>fmason</t>
        </is>
      </c>
      <c r="D27" s="17" t="inlineStr">
        <is>
          <t>BattleZone</t>
        </is>
      </c>
      <c r="E27" s="17" t="inlineStr">
        <is>
          <t>Mobile</t>
        </is>
      </c>
      <c r="F27" s="17" t="inlineStr">
        <is>
          <t>South</t>
        </is>
      </c>
      <c r="G27" s="18" t="n">
        <v>45647</v>
      </c>
      <c r="H27" s="17" t="n">
        <v>13</v>
      </c>
      <c r="I27" s="17" t="n">
        <v>0</v>
      </c>
      <c r="J27" s="17" t="inlineStr">
        <is>
          <t>No Purchase</t>
        </is>
      </c>
      <c r="K27" s="17" t="inlineStr">
        <is>
          <t>Completed</t>
        </is>
      </c>
      <c r="L27" s="17" t="inlineStr">
        <is>
          <t>Free</t>
        </is>
      </c>
      <c r="M27" s="17" t="n">
        <v>12</v>
      </c>
      <c r="N27" s="17" t="inlineStr">
        <is>
          <t>No</t>
        </is>
      </c>
      <c r="O27" s="17">
        <f>TEXT(G27,"yyyy-mm")</f>
        <v/>
      </c>
      <c r="P27" s="17">
        <f>IF(H27&lt;20,"Low",IF(H27&lt;=60,"Medium","High"))</f>
        <v/>
      </c>
      <c r="Q27" s="17">
        <f>IF(I27&gt;0,"Yes","No")</f>
        <v/>
      </c>
      <c r="R27" s="17">
        <f>IF(N27="Yes",1,0)</f>
        <v/>
      </c>
      <c r="S27" s="17">
        <f>IF(N27=IF(OR(H27&gt;150,I27&gt;40),"Yes","No"),"Match","Mismatch")</f>
        <v/>
      </c>
    </row>
    <row r="28">
      <c r="A28" s="17" t="inlineStr">
        <is>
          <t>S00324</t>
        </is>
      </c>
      <c r="B28" s="17" t="inlineStr">
        <is>
          <t>P5731</t>
        </is>
      </c>
      <c r="C28" s="17" t="inlineStr">
        <is>
          <t>erinhansen</t>
        </is>
      </c>
      <c r="D28" s="17" t="inlineStr">
        <is>
          <t>SpeedX</t>
        </is>
      </c>
      <c r="E28" s="17" t="inlineStr">
        <is>
          <t>Mobile</t>
        </is>
      </c>
      <c r="F28" s="17" t="inlineStr">
        <is>
          <t>South</t>
        </is>
      </c>
      <c r="G28" s="18" t="n">
        <v>45647</v>
      </c>
      <c r="H28" s="17" t="n">
        <v>77</v>
      </c>
      <c r="I28" s="17" t="n">
        <v>0</v>
      </c>
      <c r="J28" s="17" t="inlineStr">
        <is>
          <t>No Purchase</t>
        </is>
      </c>
      <c r="K28" s="17" t="inlineStr">
        <is>
          <t>Completed</t>
        </is>
      </c>
      <c r="L28" s="17" t="inlineStr">
        <is>
          <t>Free</t>
        </is>
      </c>
      <c r="M28" s="17" t="n">
        <v>11</v>
      </c>
      <c r="N28" s="17" t="inlineStr">
        <is>
          <t>No</t>
        </is>
      </c>
      <c r="O28" s="17">
        <f>TEXT(G28,"yyyy-mm")</f>
        <v/>
      </c>
      <c r="P28" s="17">
        <f>IF(H28&lt;20,"Low",IF(H28&lt;=60,"Medium","High"))</f>
        <v/>
      </c>
      <c r="Q28" s="17">
        <f>IF(I28&gt;0,"Yes","No")</f>
        <v/>
      </c>
      <c r="R28" s="17">
        <f>IF(N28="Yes",1,0)</f>
        <v/>
      </c>
      <c r="S28" s="17">
        <f>IF(N28=IF(OR(H28&gt;150,I28&gt;40),"Yes","No"),"Match","Mismatch")</f>
        <v/>
      </c>
    </row>
    <row r="29">
      <c r="A29" s="17" t="inlineStr">
        <is>
          <t>S00133</t>
        </is>
      </c>
      <c r="B29" s="17" t="inlineStr">
        <is>
          <t>P2956</t>
        </is>
      </c>
      <c r="C29" s="17" t="inlineStr">
        <is>
          <t>huangdana</t>
        </is>
      </c>
      <c r="D29" s="17" t="inlineStr">
        <is>
          <t>SpeedX</t>
        </is>
      </c>
      <c r="E29" s="17" t="inlineStr">
        <is>
          <t>PC</t>
        </is>
      </c>
      <c r="F29" s="17" t="inlineStr">
        <is>
          <t>North</t>
        </is>
      </c>
      <c r="G29" s="18" t="n">
        <v>45648</v>
      </c>
      <c r="H29" s="17" t="n">
        <v>107</v>
      </c>
      <c r="I29" s="17" t="n">
        <v>0</v>
      </c>
      <c r="J29" s="17" t="inlineStr">
        <is>
          <t>No Purchase</t>
        </is>
      </c>
      <c r="K29" s="17" t="inlineStr">
        <is>
          <t>Incomplete</t>
        </is>
      </c>
      <c r="L29" s="17" t="inlineStr">
        <is>
          <t>Free</t>
        </is>
      </c>
      <c r="M29" s="17" t="n">
        <v>7</v>
      </c>
      <c r="N29" s="17" t="inlineStr">
        <is>
          <t>No</t>
        </is>
      </c>
      <c r="O29" s="17">
        <f>TEXT(G29,"yyyy-mm")</f>
        <v/>
      </c>
      <c r="P29" s="17">
        <f>IF(H29&lt;20,"Low",IF(H29&lt;=60,"Medium","High"))</f>
        <v/>
      </c>
      <c r="Q29" s="17">
        <f>IF(I29&gt;0,"Yes","No")</f>
        <v/>
      </c>
      <c r="R29" s="17">
        <f>IF(N29="Yes",1,0)</f>
        <v/>
      </c>
      <c r="S29" s="17">
        <f>IF(N29=IF(OR(H29&gt;150,I29&gt;40),"Yes","No"),"Match","Mismatch")</f>
        <v/>
      </c>
    </row>
    <row r="30">
      <c r="A30" s="17" t="inlineStr">
        <is>
          <t>S00123</t>
        </is>
      </c>
      <c r="B30" s="17" t="inlineStr">
        <is>
          <t>P2064</t>
        </is>
      </c>
      <c r="C30" s="17" t="inlineStr">
        <is>
          <t>davidkelley</t>
        </is>
      </c>
      <c r="D30" s="17" t="inlineStr">
        <is>
          <t>Zombie Rush</t>
        </is>
      </c>
      <c r="E30" s="17" t="inlineStr">
        <is>
          <t>Mobile</t>
        </is>
      </c>
      <c r="F30" s="17" t="inlineStr">
        <is>
          <t>South</t>
        </is>
      </c>
      <c r="G30" s="18" t="n">
        <v>45648</v>
      </c>
      <c r="H30" s="17" t="n">
        <v>156</v>
      </c>
      <c r="I30" s="17" t="n">
        <v>0</v>
      </c>
      <c r="J30" s="17" t="inlineStr">
        <is>
          <t>No Purchase</t>
        </is>
      </c>
      <c r="K30" s="17" t="inlineStr">
        <is>
          <t>Completed</t>
        </is>
      </c>
      <c r="L30" s="17" t="inlineStr">
        <is>
          <t>Paid</t>
        </is>
      </c>
      <c r="M30" s="17" t="n">
        <v>45</v>
      </c>
      <c r="N30" s="17" t="inlineStr">
        <is>
          <t>Yes</t>
        </is>
      </c>
      <c r="O30" s="17">
        <f>TEXT(G30,"yyyy-mm")</f>
        <v/>
      </c>
      <c r="P30" s="17">
        <f>IF(H30&lt;20,"Low",IF(H30&lt;=60,"Medium","High"))</f>
        <v/>
      </c>
      <c r="Q30" s="17">
        <f>IF(I30&gt;0,"Yes","No")</f>
        <v/>
      </c>
      <c r="R30" s="17">
        <f>IF(N30="Yes",1,0)</f>
        <v/>
      </c>
      <c r="S30" s="17">
        <f>IF(N30=IF(OR(H30&gt;150,I30&gt;40),"Yes","No"),"Match","Mismatch")</f>
        <v/>
      </c>
    </row>
    <row r="31">
      <c r="A31" s="17" t="inlineStr">
        <is>
          <t>S00264</t>
        </is>
      </c>
      <c r="B31" s="17" t="inlineStr">
        <is>
          <t>P6567</t>
        </is>
      </c>
      <c r="C31" s="17" t="inlineStr">
        <is>
          <t>smithshawn</t>
        </is>
      </c>
      <c r="D31" s="17" t="inlineStr">
        <is>
          <t>BattleZone</t>
        </is>
      </c>
      <c r="E31" s="17" t="inlineStr">
        <is>
          <t>PC</t>
        </is>
      </c>
      <c r="F31" s="17" t="inlineStr">
        <is>
          <t>East</t>
        </is>
      </c>
      <c r="G31" s="18" t="n">
        <v>45650</v>
      </c>
      <c r="H31" s="17" t="n">
        <v>175</v>
      </c>
      <c r="I31" s="17" t="n">
        <v>0</v>
      </c>
      <c r="J31" s="17" t="inlineStr">
        <is>
          <t>No Purchase</t>
        </is>
      </c>
      <c r="K31" s="17" t="inlineStr">
        <is>
          <t>Incomplete</t>
        </is>
      </c>
      <c r="L31" s="17" t="inlineStr">
        <is>
          <t>Free</t>
        </is>
      </c>
      <c r="M31" s="17" t="n">
        <v>22</v>
      </c>
      <c r="N31" s="17" t="inlineStr">
        <is>
          <t>Yes</t>
        </is>
      </c>
      <c r="O31" s="17">
        <f>TEXT(G31,"yyyy-mm")</f>
        <v/>
      </c>
      <c r="P31" s="17">
        <f>IF(H31&lt;20,"Low",IF(H31&lt;=60,"Medium","High"))</f>
        <v/>
      </c>
      <c r="Q31" s="17">
        <f>IF(I31&gt;0,"Yes","No")</f>
        <v/>
      </c>
      <c r="R31" s="17">
        <f>IF(N31="Yes",1,0)</f>
        <v/>
      </c>
      <c r="S31" s="17">
        <f>IF(N31=IF(OR(H31&gt;150,I31&gt;40),"Yes","No"),"Match","Mismatch")</f>
        <v/>
      </c>
    </row>
    <row r="32">
      <c r="A32" s="17" t="inlineStr">
        <is>
          <t>S00192</t>
        </is>
      </c>
      <c r="B32" s="17" t="inlineStr">
        <is>
          <t>P2833</t>
        </is>
      </c>
      <c r="C32" s="17" t="inlineStr">
        <is>
          <t>kerry23</t>
        </is>
      </c>
      <c r="D32" s="17" t="inlineStr">
        <is>
          <t>Empire Wars</t>
        </is>
      </c>
      <c r="E32" s="17" t="inlineStr">
        <is>
          <t>PC</t>
        </is>
      </c>
      <c r="F32" s="17" t="inlineStr">
        <is>
          <t>East</t>
        </is>
      </c>
      <c r="G32" s="18" t="n">
        <v>45650</v>
      </c>
      <c r="H32" s="17" t="n">
        <v>47</v>
      </c>
      <c r="I32" s="17" t="n">
        <v>12.41</v>
      </c>
      <c r="J32" s="17" t="inlineStr">
        <is>
          <t>Subscriptions</t>
        </is>
      </c>
      <c r="K32" s="17" t="inlineStr">
        <is>
          <t>Completed</t>
        </is>
      </c>
      <c r="L32" s="17" t="inlineStr">
        <is>
          <t>Paid</t>
        </is>
      </c>
      <c r="M32" s="17" t="n">
        <v>36</v>
      </c>
      <c r="N32" s="17" t="inlineStr">
        <is>
          <t>No</t>
        </is>
      </c>
      <c r="O32" s="17">
        <f>TEXT(G32,"yyyy-mm")</f>
        <v/>
      </c>
      <c r="P32" s="17">
        <f>IF(H32&lt;20,"Low",IF(H32&lt;=60,"Medium","High"))</f>
        <v/>
      </c>
      <c r="Q32" s="17">
        <f>IF(I32&gt;0,"Yes","No")</f>
        <v/>
      </c>
      <c r="R32" s="17">
        <f>IF(N32="Yes",1,0)</f>
        <v/>
      </c>
      <c r="S32" s="17">
        <f>IF(N32=IF(OR(H32&gt;150,I32&gt;40),"Yes","No"),"Match","Mismatch")</f>
        <v/>
      </c>
    </row>
    <row r="33">
      <c r="A33" s="17" t="inlineStr">
        <is>
          <t>S00145</t>
        </is>
      </c>
      <c r="B33" s="17" t="inlineStr">
        <is>
          <t>P1686</t>
        </is>
      </c>
      <c r="C33" s="17" t="inlineStr">
        <is>
          <t>michellemurphy</t>
        </is>
      </c>
      <c r="D33" s="17" t="inlineStr">
        <is>
          <t>Clash of Realms</t>
        </is>
      </c>
      <c r="E33" s="17" t="inlineStr">
        <is>
          <t>Console</t>
        </is>
      </c>
      <c r="F33" s="17" t="inlineStr">
        <is>
          <t>Central</t>
        </is>
      </c>
      <c r="G33" s="18" t="n">
        <v>45650</v>
      </c>
      <c r="H33" s="17" t="n">
        <v>146</v>
      </c>
      <c r="I33" s="17" t="n">
        <v>0</v>
      </c>
      <c r="J33" s="17" t="inlineStr">
        <is>
          <t>No Purchase</t>
        </is>
      </c>
      <c r="K33" s="17" t="inlineStr">
        <is>
          <t>Completed</t>
        </is>
      </c>
      <c r="L33" s="17" t="inlineStr">
        <is>
          <t>Free</t>
        </is>
      </c>
      <c r="M33" s="17" t="n">
        <v>28</v>
      </c>
      <c r="N33" s="17" t="inlineStr">
        <is>
          <t>No</t>
        </is>
      </c>
      <c r="O33" s="17">
        <f>TEXT(G33,"yyyy-mm")</f>
        <v/>
      </c>
      <c r="P33" s="17">
        <f>IF(H33&lt;20,"Low",IF(H33&lt;=60,"Medium","High"))</f>
        <v/>
      </c>
      <c r="Q33" s="17">
        <f>IF(I33&gt;0,"Yes","No")</f>
        <v/>
      </c>
      <c r="R33" s="17">
        <f>IF(N33="Yes",1,0)</f>
        <v/>
      </c>
      <c r="S33" s="17">
        <f>IF(N33=IF(OR(H33&gt;150,I33&gt;40),"Yes","No"),"Match","Mismatch")</f>
        <v/>
      </c>
    </row>
    <row r="34">
      <c r="A34" s="17" t="inlineStr">
        <is>
          <t>S00089</t>
        </is>
      </c>
      <c r="B34" s="17" t="inlineStr">
        <is>
          <t>P5536</t>
        </is>
      </c>
      <c r="C34" s="17" t="inlineStr">
        <is>
          <t>manderson</t>
        </is>
      </c>
      <c r="D34" s="17" t="inlineStr">
        <is>
          <t>Zombie Rush</t>
        </is>
      </c>
      <c r="E34" s="17" t="inlineStr">
        <is>
          <t>Mobile</t>
        </is>
      </c>
      <c r="F34" s="17" t="inlineStr">
        <is>
          <t>East</t>
        </is>
      </c>
      <c r="G34" s="18" t="n">
        <v>45651</v>
      </c>
      <c r="H34" s="17" t="n">
        <v>92</v>
      </c>
      <c r="I34" s="17" t="n">
        <v>0</v>
      </c>
      <c r="J34" s="17" t="inlineStr">
        <is>
          <t>No Purchase</t>
        </is>
      </c>
      <c r="K34" s="17" t="inlineStr">
        <is>
          <t>Incomplete</t>
        </is>
      </c>
      <c r="L34" s="17" t="inlineStr">
        <is>
          <t>Free</t>
        </is>
      </c>
      <c r="M34" s="17" t="n">
        <v>21</v>
      </c>
      <c r="N34" s="17" t="inlineStr">
        <is>
          <t>No</t>
        </is>
      </c>
      <c r="O34" s="17">
        <f>TEXT(G34,"yyyy-mm")</f>
        <v/>
      </c>
      <c r="P34" s="17">
        <f>IF(H34&lt;20,"Low",IF(H34&lt;=60,"Medium","High"))</f>
        <v/>
      </c>
      <c r="Q34" s="17">
        <f>IF(I34&gt;0,"Yes","No")</f>
        <v/>
      </c>
      <c r="R34" s="17">
        <f>IF(N34="Yes",1,0)</f>
        <v/>
      </c>
      <c r="S34" s="17">
        <f>IF(N34=IF(OR(H34&gt;150,I34&gt;40),"Yes","No"),"Match","Mismatch")</f>
        <v/>
      </c>
    </row>
    <row r="35">
      <c r="A35" s="17" t="inlineStr">
        <is>
          <t>S00466</t>
        </is>
      </c>
      <c r="B35" s="17" t="inlineStr">
        <is>
          <t>P1450</t>
        </is>
      </c>
      <c r="C35" s="17" t="inlineStr">
        <is>
          <t>jacob95</t>
        </is>
      </c>
      <c r="D35" s="17" t="inlineStr">
        <is>
          <t>Zombie Rush</t>
        </is>
      </c>
      <c r="E35" s="17" t="inlineStr">
        <is>
          <t>Console</t>
        </is>
      </c>
      <c r="F35" s="17" t="inlineStr">
        <is>
          <t>Central</t>
        </is>
      </c>
      <c r="G35" s="18" t="n">
        <v>45651</v>
      </c>
      <c r="H35" s="17" t="n">
        <v>38</v>
      </c>
      <c r="I35" s="17" t="n">
        <v>0</v>
      </c>
      <c r="J35" s="17" t="inlineStr">
        <is>
          <t>No Purchase</t>
        </is>
      </c>
      <c r="K35" s="17" t="inlineStr">
        <is>
          <t>Exited Early</t>
        </is>
      </c>
      <c r="L35" s="17" t="inlineStr">
        <is>
          <t>Free</t>
        </is>
      </c>
      <c r="M35" s="17" t="n">
        <v>23</v>
      </c>
      <c r="N35" s="17" t="inlineStr">
        <is>
          <t>No</t>
        </is>
      </c>
      <c r="O35" s="17">
        <f>TEXT(G35,"yyyy-mm")</f>
        <v/>
      </c>
      <c r="P35" s="17">
        <f>IF(H35&lt;20,"Low",IF(H35&lt;=60,"Medium","High"))</f>
        <v/>
      </c>
      <c r="Q35" s="17">
        <f>IF(I35&gt;0,"Yes","No")</f>
        <v/>
      </c>
      <c r="R35" s="17">
        <f>IF(N35="Yes",1,0)</f>
        <v/>
      </c>
      <c r="S35" s="17">
        <f>IF(N35=IF(OR(H35&gt;150,I35&gt;40),"Yes","No"),"Match","Mismatch")</f>
        <v/>
      </c>
    </row>
    <row r="36">
      <c r="A36" s="17" t="inlineStr">
        <is>
          <t>S00376</t>
        </is>
      </c>
      <c r="B36" s="17" t="inlineStr">
        <is>
          <t>P4545</t>
        </is>
      </c>
      <c r="C36" s="17" t="inlineStr">
        <is>
          <t>monique85</t>
        </is>
      </c>
      <c r="D36" s="17" t="inlineStr">
        <is>
          <t>BattleZone</t>
        </is>
      </c>
      <c r="E36" s="17" t="inlineStr">
        <is>
          <t>PC</t>
        </is>
      </c>
      <c r="F36" s="17" t="inlineStr">
        <is>
          <t>South</t>
        </is>
      </c>
      <c r="G36" s="18" t="n">
        <v>45651</v>
      </c>
      <c r="H36" s="17" t="n">
        <v>167</v>
      </c>
      <c r="I36" s="17" t="n">
        <v>0</v>
      </c>
      <c r="J36" s="17" t="inlineStr">
        <is>
          <t>No Purchase</t>
        </is>
      </c>
      <c r="K36" s="17" t="inlineStr">
        <is>
          <t>Completed</t>
        </is>
      </c>
      <c r="L36" s="17" t="inlineStr">
        <is>
          <t>Paid</t>
        </is>
      </c>
      <c r="M36" s="17" t="n">
        <v>37</v>
      </c>
      <c r="N36" s="17" t="inlineStr">
        <is>
          <t>Yes</t>
        </is>
      </c>
      <c r="O36" s="17">
        <f>TEXT(G36,"yyyy-mm")</f>
        <v/>
      </c>
      <c r="P36" s="17">
        <f>IF(H36&lt;20,"Low",IF(H36&lt;=60,"Medium","High"))</f>
        <v/>
      </c>
      <c r="Q36" s="17">
        <f>IF(I36&gt;0,"Yes","No")</f>
        <v/>
      </c>
      <c r="R36" s="17">
        <f>IF(N36="Yes",1,0)</f>
        <v/>
      </c>
      <c r="S36" s="17">
        <f>IF(N36=IF(OR(H36&gt;150,I36&gt;40),"Yes","No"),"Match","Mismatch")</f>
        <v/>
      </c>
    </row>
    <row r="37">
      <c r="A37" s="17" t="inlineStr">
        <is>
          <t>S00445</t>
        </is>
      </c>
      <c r="B37" s="17" t="inlineStr">
        <is>
          <t>P6434</t>
        </is>
      </c>
      <c r="C37" s="17" t="inlineStr">
        <is>
          <t>caitlinmiller</t>
        </is>
      </c>
      <c r="D37" s="17" t="inlineStr">
        <is>
          <t>Clash of Realms</t>
        </is>
      </c>
      <c r="E37" s="17" t="inlineStr">
        <is>
          <t>Console</t>
        </is>
      </c>
      <c r="F37" s="17" t="inlineStr">
        <is>
          <t>West</t>
        </is>
      </c>
      <c r="G37" s="18" t="n">
        <v>45652</v>
      </c>
      <c r="H37" s="17" t="n">
        <v>96</v>
      </c>
      <c r="I37" s="17" t="n">
        <v>0</v>
      </c>
      <c r="J37" s="17" t="inlineStr">
        <is>
          <t>No Purchase</t>
        </is>
      </c>
      <c r="K37" s="17" t="inlineStr">
        <is>
          <t>Completed</t>
        </is>
      </c>
      <c r="L37" s="17" t="inlineStr">
        <is>
          <t>Free</t>
        </is>
      </c>
      <c r="M37" s="17" t="n">
        <v>49</v>
      </c>
      <c r="N37" s="17" t="inlineStr">
        <is>
          <t>No</t>
        </is>
      </c>
      <c r="O37" s="17">
        <f>TEXT(G37,"yyyy-mm")</f>
        <v/>
      </c>
      <c r="P37" s="17">
        <f>IF(H37&lt;20,"Low",IF(H37&lt;=60,"Medium","High"))</f>
        <v/>
      </c>
      <c r="Q37" s="17">
        <f>IF(I37&gt;0,"Yes","No")</f>
        <v/>
      </c>
      <c r="R37" s="17">
        <f>IF(N37="Yes",1,0)</f>
        <v/>
      </c>
      <c r="S37" s="17">
        <f>IF(N37=IF(OR(H37&gt;150,I37&gt;40),"Yes","No"),"Match","Mismatch")</f>
        <v/>
      </c>
    </row>
    <row r="38">
      <c r="A38" s="17" t="inlineStr">
        <is>
          <t>S00290</t>
        </is>
      </c>
      <c r="B38" s="17" t="inlineStr">
        <is>
          <t>P4420</t>
        </is>
      </c>
      <c r="C38" s="17" t="inlineStr">
        <is>
          <t>wanda82</t>
        </is>
      </c>
      <c r="D38" s="17" t="inlineStr">
        <is>
          <t>Clash of Realms</t>
        </is>
      </c>
      <c r="E38" s="17" t="inlineStr">
        <is>
          <t>PC</t>
        </is>
      </c>
      <c r="F38" s="17" t="inlineStr">
        <is>
          <t>West</t>
        </is>
      </c>
      <c r="G38" s="18" t="n">
        <v>45652</v>
      </c>
      <c r="H38" s="17" t="n">
        <v>154</v>
      </c>
      <c r="I38" s="17" t="n">
        <v>0</v>
      </c>
      <c r="J38" s="17" t="inlineStr">
        <is>
          <t>No Purchase</t>
        </is>
      </c>
      <c r="K38" s="17" t="inlineStr">
        <is>
          <t>Completed</t>
        </is>
      </c>
      <c r="L38" s="17" t="inlineStr">
        <is>
          <t>Paid</t>
        </is>
      </c>
      <c r="M38" s="17" t="n">
        <v>14</v>
      </c>
      <c r="N38" s="17" t="inlineStr">
        <is>
          <t>Yes</t>
        </is>
      </c>
      <c r="O38" s="17">
        <f>TEXT(G38,"yyyy-mm")</f>
        <v/>
      </c>
      <c r="P38" s="17">
        <f>IF(H38&lt;20,"Low",IF(H38&lt;=60,"Medium","High"))</f>
        <v/>
      </c>
      <c r="Q38" s="17">
        <f>IF(I38&gt;0,"Yes","No")</f>
        <v/>
      </c>
      <c r="R38" s="17">
        <f>IF(N38="Yes",1,0)</f>
        <v/>
      </c>
      <c r="S38" s="17">
        <f>IF(N38=IF(OR(H38&gt;150,I38&gt;40),"Yes","No"),"Match","Mismatch")</f>
        <v/>
      </c>
    </row>
    <row r="39">
      <c r="A39" s="17" t="inlineStr">
        <is>
          <t>S00234</t>
        </is>
      </c>
      <c r="B39" s="17" t="inlineStr">
        <is>
          <t>P4086</t>
        </is>
      </c>
      <c r="C39" s="17" t="inlineStr">
        <is>
          <t>joseph76</t>
        </is>
      </c>
      <c r="D39" s="17" t="inlineStr">
        <is>
          <t>Zombie Rush</t>
        </is>
      </c>
      <c r="E39" s="17" t="inlineStr">
        <is>
          <t>Mobile</t>
        </is>
      </c>
      <c r="F39" s="17" t="inlineStr">
        <is>
          <t>North</t>
        </is>
      </c>
      <c r="G39" s="18" t="n">
        <v>45652</v>
      </c>
      <c r="H39" s="17" t="n">
        <v>154</v>
      </c>
      <c r="I39" s="17" t="n">
        <v>0</v>
      </c>
      <c r="J39" s="17" t="inlineStr">
        <is>
          <t>No Purchase</t>
        </is>
      </c>
      <c r="K39" s="17" t="inlineStr">
        <is>
          <t>Completed</t>
        </is>
      </c>
      <c r="L39" s="17" t="inlineStr">
        <is>
          <t>Free</t>
        </is>
      </c>
      <c r="M39" s="17" t="n">
        <v>22</v>
      </c>
      <c r="N39" s="17" t="inlineStr">
        <is>
          <t>Yes</t>
        </is>
      </c>
      <c r="O39" s="17">
        <f>TEXT(G39,"yyyy-mm")</f>
        <v/>
      </c>
      <c r="P39" s="17">
        <f>IF(H39&lt;20,"Low",IF(H39&lt;=60,"Medium","High"))</f>
        <v/>
      </c>
      <c r="Q39" s="17">
        <f>IF(I39&gt;0,"Yes","No")</f>
        <v/>
      </c>
      <c r="R39" s="17">
        <f>IF(N39="Yes",1,0)</f>
        <v/>
      </c>
      <c r="S39" s="17">
        <f>IF(N39=IF(OR(H39&gt;150,I39&gt;40),"Yes","No"),"Match","Mismatch")</f>
        <v/>
      </c>
    </row>
    <row r="40">
      <c r="A40" s="17" t="inlineStr">
        <is>
          <t>S00447</t>
        </is>
      </c>
      <c r="B40" s="17" t="inlineStr">
        <is>
          <t>P1920</t>
        </is>
      </c>
      <c r="C40" s="17" t="inlineStr">
        <is>
          <t>fsteele</t>
        </is>
      </c>
      <c r="D40" s="17" t="inlineStr">
        <is>
          <t>Empire Wars</t>
        </is>
      </c>
      <c r="E40" s="17" t="inlineStr">
        <is>
          <t>Mobile</t>
        </is>
      </c>
      <c r="F40" s="17" t="inlineStr">
        <is>
          <t>Central</t>
        </is>
      </c>
      <c r="G40" s="18" t="n">
        <v>45654</v>
      </c>
      <c r="H40" s="17" t="n">
        <v>133</v>
      </c>
      <c r="I40" s="17" t="n">
        <v>0</v>
      </c>
      <c r="J40" s="17" t="inlineStr">
        <is>
          <t>No Purchase</t>
        </is>
      </c>
      <c r="K40" s="17" t="inlineStr">
        <is>
          <t>Exited Early</t>
        </is>
      </c>
      <c r="L40" s="17" t="inlineStr">
        <is>
          <t>Free</t>
        </is>
      </c>
      <c r="M40" s="17" t="n">
        <v>10</v>
      </c>
      <c r="N40" s="17" t="inlineStr">
        <is>
          <t>No</t>
        </is>
      </c>
      <c r="O40" s="17">
        <f>TEXT(G40,"yyyy-mm")</f>
        <v/>
      </c>
      <c r="P40" s="17">
        <f>IF(H40&lt;20,"Low",IF(H40&lt;=60,"Medium","High"))</f>
        <v/>
      </c>
      <c r="Q40" s="17">
        <f>IF(I40&gt;0,"Yes","No")</f>
        <v/>
      </c>
      <c r="R40" s="17">
        <f>IF(N40="Yes",1,0)</f>
        <v/>
      </c>
      <c r="S40" s="17">
        <f>IF(N40=IF(OR(H40&gt;150,I40&gt;40),"Yes","No"),"Match","Mismatch")</f>
        <v/>
      </c>
    </row>
    <row r="41">
      <c r="A41" s="17" t="inlineStr">
        <is>
          <t>S00459</t>
        </is>
      </c>
      <c r="B41" s="17" t="inlineStr">
        <is>
          <t>P5695</t>
        </is>
      </c>
      <c r="C41" s="17" t="inlineStr">
        <is>
          <t>danielleonard</t>
        </is>
      </c>
      <c r="D41" s="17" t="inlineStr">
        <is>
          <t>Clash of Realms</t>
        </is>
      </c>
      <c r="E41" s="17" t="inlineStr">
        <is>
          <t>Console</t>
        </is>
      </c>
      <c r="F41" s="17" t="inlineStr">
        <is>
          <t>Central</t>
        </is>
      </c>
      <c r="G41" s="18" t="n">
        <v>45654</v>
      </c>
      <c r="H41" s="17" t="n">
        <v>44</v>
      </c>
      <c r="I41" s="17" t="n">
        <v>0</v>
      </c>
      <c r="J41" s="17" t="inlineStr">
        <is>
          <t>No Purchase</t>
        </is>
      </c>
      <c r="K41" s="17" t="inlineStr">
        <is>
          <t>Completed</t>
        </is>
      </c>
      <c r="L41" s="17" t="inlineStr">
        <is>
          <t>Free</t>
        </is>
      </c>
      <c r="M41" s="17" t="n">
        <v>21</v>
      </c>
      <c r="N41" s="17" t="inlineStr">
        <is>
          <t>No</t>
        </is>
      </c>
      <c r="O41" s="17">
        <f>TEXT(G41,"yyyy-mm")</f>
        <v/>
      </c>
      <c r="P41" s="17">
        <f>IF(H41&lt;20,"Low",IF(H41&lt;=60,"Medium","High"))</f>
        <v/>
      </c>
      <c r="Q41" s="17">
        <f>IF(I41&gt;0,"Yes","No")</f>
        <v/>
      </c>
      <c r="R41" s="17">
        <f>IF(N41="Yes",1,0)</f>
        <v/>
      </c>
      <c r="S41" s="17">
        <f>IF(N41=IF(OR(H41&gt;150,I41&gt;40),"Yes","No"),"Match","Mismatch")</f>
        <v/>
      </c>
    </row>
    <row r="42">
      <c r="A42" s="17" t="inlineStr">
        <is>
          <t>S00467</t>
        </is>
      </c>
      <c r="B42" s="17" t="inlineStr">
        <is>
          <t>P3228</t>
        </is>
      </c>
      <c r="C42" s="17" t="inlineStr">
        <is>
          <t>mlewis</t>
        </is>
      </c>
      <c r="D42" s="17" t="inlineStr">
        <is>
          <t>Clash of Realms</t>
        </is>
      </c>
      <c r="E42" s="17" t="inlineStr">
        <is>
          <t>Console</t>
        </is>
      </c>
      <c r="F42" s="17" t="inlineStr">
        <is>
          <t>North-East</t>
        </is>
      </c>
      <c r="G42" s="18" t="n">
        <v>45654</v>
      </c>
      <c r="H42" s="17" t="n">
        <v>132</v>
      </c>
      <c r="I42" s="17" t="n">
        <v>18</v>
      </c>
      <c r="J42" s="17" t="inlineStr">
        <is>
          <t>Battle Pass</t>
        </is>
      </c>
      <c r="K42" s="17" t="inlineStr">
        <is>
          <t>Crashed</t>
        </is>
      </c>
      <c r="L42" s="17" t="inlineStr">
        <is>
          <t>Paid</t>
        </is>
      </c>
      <c r="M42" s="17" t="n">
        <v>3</v>
      </c>
      <c r="N42" s="17" t="inlineStr">
        <is>
          <t>No</t>
        </is>
      </c>
      <c r="O42" s="17">
        <f>TEXT(G42,"yyyy-mm")</f>
        <v/>
      </c>
      <c r="P42" s="17">
        <f>IF(H42&lt;20,"Low",IF(H42&lt;=60,"Medium","High"))</f>
        <v/>
      </c>
      <c r="Q42" s="17">
        <f>IF(I42&gt;0,"Yes","No")</f>
        <v/>
      </c>
      <c r="R42" s="17">
        <f>IF(N42="Yes",1,0)</f>
        <v/>
      </c>
      <c r="S42" s="17">
        <f>IF(N42=IF(OR(H42&gt;150,I42&gt;40),"Yes","No"),"Match","Mismatch")</f>
        <v/>
      </c>
    </row>
    <row r="43">
      <c r="A43" s="17" t="inlineStr">
        <is>
          <t>S00195</t>
        </is>
      </c>
      <c r="B43" s="17" t="inlineStr">
        <is>
          <t>P1819</t>
        </is>
      </c>
      <c r="C43" s="17" t="inlineStr">
        <is>
          <t>garciadanielle</t>
        </is>
      </c>
      <c r="D43" s="17" t="inlineStr">
        <is>
          <t>Zombie Rush</t>
        </is>
      </c>
      <c r="E43" s="17" t="inlineStr">
        <is>
          <t>Mobile</t>
        </is>
      </c>
      <c r="F43" s="17" t="inlineStr">
        <is>
          <t>East</t>
        </is>
      </c>
      <c r="G43" s="18" t="n">
        <v>45654</v>
      </c>
      <c r="H43" s="17" t="n">
        <v>117</v>
      </c>
      <c r="I43" s="17" t="n">
        <v>0</v>
      </c>
      <c r="J43" s="17" t="inlineStr">
        <is>
          <t>No Purchase</t>
        </is>
      </c>
      <c r="K43" s="17" t="inlineStr">
        <is>
          <t>Completed</t>
        </is>
      </c>
      <c r="L43" s="17" t="inlineStr">
        <is>
          <t>Free</t>
        </is>
      </c>
      <c r="M43" s="17" t="n">
        <v>17</v>
      </c>
      <c r="N43" s="17" t="inlineStr">
        <is>
          <t>No</t>
        </is>
      </c>
      <c r="O43" s="17">
        <f>TEXT(G43,"yyyy-mm")</f>
        <v/>
      </c>
      <c r="P43" s="17">
        <f>IF(H43&lt;20,"Low",IF(H43&lt;=60,"Medium","High"))</f>
        <v/>
      </c>
      <c r="Q43" s="17">
        <f>IF(I43&gt;0,"Yes","No")</f>
        <v/>
      </c>
      <c r="R43" s="17">
        <f>IF(N43="Yes",1,0)</f>
        <v/>
      </c>
      <c r="S43" s="17">
        <f>IF(N43=IF(OR(H43&gt;150,I43&gt;40),"Yes","No"),"Match","Mismatch")</f>
        <v/>
      </c>
    </row>
    <row r="44">
      <c r="A44" s="17" t="inlineStr">
        <is>
          <t>S00457</t>
        </is>
      </c>
      <c r="B44" s="17" t="inlineStr">
        <is>
          <t>P5820</t>
        </is>
      </c>
      <c r="C44" s="17" t="inlineStr">
        <is>
          <t>lindagalloway</t>
        </is>
      </c>
      <c r="D44" s="17" t="inlineStr">
        <is>
          <t>Empire Wars</t>
        </is>
      </c>
      <c r="E44" s="17" t="inlineStr">
        <is>
          <t>Mobile</t>
        </is>
      </c>
      <c r="F44" s="17" t="inlineStr">
        <is>
          <t>North-East</t>
        </is>
      </c>
      <c r="G44" s="18" t="n">
        <v>45655</v>
      </c>
      <c r="H44" s="17" t="n">
        <v>113</v>
      </c>
      <c r="I44" s="17" t="n">
        <v>0</v>
      </c>
      <c r="J44" s="17" t="inlineStr">
        <is>
          <t>No Purchase</t>
        </is>
      </c>
      <c r="K44" s="17" t="inlineStr">
        <is>
          <t>Completed</t>
        </is>
      </c>
      <c r="L44" s="17" t="inlineStr">
        <is>
          <t>Free</t>
        </is>
      </c>
      <c r="M44" s="17" t="n">
        <v>17</v>
      </c>
      <c r="N44" s="17" t="inlineStr">
        <is>
          <t>No</t>
        </is>
      </c>
      <c r="O44" s="17">
        <f>TEXT(G44,"yyyy-mm")</f>
        <v/>
      </c>
      <c r="P44" s="17">
        <f>IF(H44&lt;20,"Low",IF(H44&lt;=60,"Medium","High"))</f>
        <v/>
      </c>
      <c r="Q44" s="17">
        <f>IF(I44&gt;0,"Yes","No")</f>
        <v/>
      </c>
      <c r="R44" s="17">
        <f>IF(N44="Yes",1,0)</f>
        <v/>
      </c>
      <c r="S44" s="17">
        <f>IF(N44=IF(OR(H44&gt;150,I44&gt;40),"Yes","No"),"Match","Mismatch")</f>
        <v/>
      </c>
    </row>
    <row r="45">
      <c r="A45" s="17" t="inlineStr">
        <is>
          <t>S00372</t>
        </is>
      </c>
      <c r="B45" s="17" t="inlineStr">
        <is>
          <t>P1855</t>
        </is>
      </c>
      <c r="C45" s="17" t="inlineStr">
        <is>
          <t>amandarogers</t>
        </is>
      </c>
      <c r="D45" s="17" t="inlineStr">
        <is>
          <t>Zombie Rush</t>
        </is>
      </c>
      <c r="E45" s="17" t="inlineStr">
        <is>
          <t>PC</t>
        </is>
      </c>
      <c r="F45" s="17" t="inlineStr">
        <is>
          <t>North</t>
        </is>
      </c>
      <c r="G45" s="18" t="n">
        <v>45655</v>
      </c>
      <c r="H45" s="17" t="n">
        <v>83</v>
      </c>
      <c r="I45" s="17" t="n">
        <v>0</v>
      </c>
      <c r="J45" s="17" t="inlineStr">
        <is>
          <t>No Purchase</t>
        </is>
      </c>
      <c r="K45" s="17" t="inlineStr">
        <is>
          <t>Completed</t>
        </is>
      </c>
      <c r="L45" s="17" t="inlineStr">
        <is>
          <t>Free</t>
        </is>
      </c>
      <c r="M45" s="17" t="n">
        <v>49</v>
      </c>
      <c r="N45" s="17" t="inlineStr">
        <is>
          <t>No</t>
        </is>
      </c>
      <c r="O45" s="17">
        <f>TEXT(G45,"yyyy-mm")</f>
        <v/>
      </c>
      <c r="P45" s="17">
        <f>IF(H45&lt;20,"Low",IF(H45&lt;=60,"Medium","High"))</f>
        <v/>
      </c>
      <c r="Q45" s="17">
        <f>IF(I45&gt;0,"Yes","No")</f>
        <v/>
      </c>
      <c r="R45" s="17">
        <f>IF(N45="Yes",1,0)</f>
        <v/>
      </c>
      <c r="S45" s="17">
        <f>IF(N45=IF(OR(H45&gt;150,I45&gt;40),"Yes","No"),"Match","Mismatch")</f>
        <v/>
      </c>
    </row>
    <row r="46">
      <c r="A46" s="17" t="inlineStr">
        <is>
          <t>S00342</t>
        </is>
      </c>
      <c r="B46" s="17" t="inlineStr">
        <is>
          <t>P9340</t>
        </is>
      </c>
      <c r="C46" s="17" t="inlineStr">
        <is>
          <t>davisheather</t>
        </is>
      </c>
      <c r="D46" s="17" t="inlineStr">
        <is>
          <t>Clash of Realms</t>
        </is>
      </c>
      <c r="E46" s="17" t="inlineStr">
        <is>
          <t>Mobile</t>
        </is>
      </c>
      <c r="F46" s="17" t="inlineStr">
        <is>
          <t>East</t>
        </is>
      </c>
      <c r="G46" s="18" t="n">
        <v>45655</v>
      </c>
      <c r="H46" s="17" t="n">
        <v>166</v>
      </c>
      <c r="I46" s="17" t="n">
        <v>0</v>
      </c>
      <c r="J46" s="17" t="inlineStr">
        <is>
          <t>No Purchase</t>
        </is>
      </c>
      <c r="K46" s="17" t="inlineStr">
        <is>
          <t>Incomplete</t>
        </is>
      </c>
      <c r="L46" s="17" t="inlineStr">
        <is>
          <t>Free</t>
        </is>
      </c>
      <c r="M46" s="17" t="n">
        <v>30</v>
      </c>
      <c r="N46" s="17" t="inlineStr">
        <is>
          <t>Yes</t>
        </is>
      </c>
      <c r="O46" s="17">
        <f>TEXT(G46,"yyyy-mm")</f>
        <v/>
      </c>
      <c r="P46" s="17">
        <f>IF(H46&lt;20,"Low",IF(H46&lt;=60,"Medium","High"))</f>
        <v/>
      </c>
      <c r="Q46" s="17">
        <f>IF(I46&gt;0,"Yes","No")</f>
        <v/>
      </c>
      <c r="R46" s="17">
        <f>IF(N46="Yes",1,0)</f>
        <v/>
      </c>
      <c r="S46" s="17">
        <f>IF(N46=IF(OR(H46&gt;150,I46&gt;40),"Yes","No"),"Match","Mismatch")</f>
        <v/>
      </c>
    </row>
    <row r="47">
      <c r="A47" s="17" t="inlineStr">
        <is>
          <t>S00382</t>
        </is>
      </c>
      <c r="B47" s="17" t="inlineStr">
        <is>
          <t>P6609</t>
        </is>
      </c>
      <c r="C47" s="17" t="inlineStr">
        <is>
          <t>jonathan22</t>
        </is>
      </c>
      <c r="D47" s="17" t="inlineStr">
        <is>
          <t>BattleZone</t>
        </is>
      </c>
      <c r="E47" s="17" t="inlineStr">
        <is>
          <t>Console</t>
        </is>
      </c>
      <c r="F47" s="17" t="inlineStr">
        <is>
          <t>North</t>
        </is>
      </c>
      <c r="G47" s="18" t="n">
        <v>45656</v>
      </c>
      <c r="H47" s="17" t="n">
        <v>15</v>
      </c>
      <c r="I47" s="17" t="n">
        <v>0</v>
      </c>
      <c r="J47" s="17" t="inlineStr">
        <is>
          <t>No Purchase</t>
        </is>
      </c>
      <c r="K47" s="17" t="inlineStr">
        <is>
          <t>Completed</t>
        </is>
      </c>
      <c r="L47" s="17" t="inlineStr">
        <is>
          <t>Free</t>
        </is>
      </c>
      <c r="M47" s="17" t="n">
        <v>19</v>
      </c>
      <c r="N47" s="17" t="inlineStr">
        <is>
          <t>No</t>
        </is>
      </c>
      <c r="O47" s="17">
        <f>TEXT(G47,"yyyy-mm")</f>
        <v/>
      </c>
      <c r="P47" s="17">
        <f>IF(H47&lt;20,"Low",IF(H47&lt;=60,"Medium","High"))</f>
        <v/>
      </c>
      <c r="Q47" s="17">
        <f>IF(I47&gt;0,"Yes","No")</f>
        <v/>
      </c>
      <c r="R47" s="17">
        <f>IF(N47="Yes",1,0)</f>
        <v/>
      </c>
      <c r="S47" s="17">
        <f>IF(N47=IF(OR(H47&gt;150,I47&gt;40),"Yes","No"),"Match","Mismatch")</f>
        <v/>
      </c>
    </row>
    <row r="48">
      <c r="A48" s="17" t="inlineStr">
        <is>
          <t>S00111</t>
        </is>
      </c>
      <c r="B48" s="17" t="inlineStr">
        <is>
          <t>P1583</t>
        </is>
      </c>
      <c r="C48" s="17" t="inlineStr">
        <is>
          <t>heatherpayne</t>
        </is>
      </c>
      <c r="D48" s="17" t="inlineStr">
        <is>
          <t>BattleZone</t>
        </is>
      </c>
      <c r="E48" s="17" t="inlineStr">
        <is>
          <t>PC</t>
        </is>
      </c>
      <c r="F48" s="17" t="inlineStr">
        <is>
          <t>Central</t>
        </is>
      </c>
      <c r="G48" s="18" t="n">
        <v>45656</v>
      </c>
      <c r="H48" s="17" t="n">
        <v>165</v>
      </c>
      <c r="I48" s="17" t="n">
        <v>0</v>
      </c>
      <c r="J48" s="17" t="inlineStr">
        <is>
          <t>No Purchase</t>
        </is>
      </c>
      <c r="K48" s="17" t="inlineStr">
        <is>
          <t>Crashed</t>
        </is>
      </c>
      <c r="L48" s="17" t="inlineStr">
        <is>
          <t>Free</t>
        </is>
      </c>
      <c r="M48" s="17" t="n">
        <v>48</v>
      </c>
      <c r="N48" s="17" t="inlineStr">
        <is>
          <t>Yes</t>
        </is>
      </c>
      <c r="O48" s="17">
        <f>TEXT(G48,"yyyy-mm")</f>
        <v/>
      </c>
      <c r="P48" s="17">
        <f>IF(H48&lt;20,"Low",IF(H48&lt;=60,"Medium","High"))</f>
        <v/>
      </c>
      <c r="Q48" s="17">
        <f>IF(I48&gt;0,"Yes","No")</f>
        <v/>
      </c>
      <c r="R48" s="17">
        <f>IF(N48="Yes",1,0)</f>
        <v/>
      </c>
      <c r="S48" s="17">
        <f>IF(N48=IF(OR(H48&gt;150,I48&gt;40),"Yes","No"),"Match","Mismatch")</f>
        <v/>
      </c>
    </row>
    <row r="49">
      <c r="A49" s="17" t="inlineStr">
        <is>
          <t>S00500</t>
        </is>
      </c>
      <c r="B49" s="17" t="inlineStr">
        <is>
          <t>P4402</t>
        </is>
      </c>
      <c r="C49" s="17" t="inlineStr">
        <is>
          <t>fnolan</t>
        </is>
      </c>
      <c r="D49" s="17" t="inlineStr">
        <is>
          <t>BattleZone</t>
        </is>
      </c>
      <c r="E49" s="17" t="inlineStr">
        <is>
          <t>Console</t>
        </is>
      </c>
      <c r="F49" s="17" t="inlineStr">
        <is>
          <t>North</t>
        </is>
      </c>
      <c r="G49" s="18" t="n">
        <v>45656</v>
      </c>
      <c r="H49" s="17" t="n">
        <v>20</v>
      </c>
      <c r="I49" s="17" t="n">
        <v>0</v>
      </c>
      <c r="J49" s="17" t="inlineStr">
        <is>
          <t>No Purchase</t>
        </is>
      </c>
      <c r="K49" s="17" t="inlineStr">
        <is>
          <t>Completed</t>
        </is>
      </c>
      <c r="L49" s="17" t="inlineStr">
        <is>
          <t>Paid</t>
        </is>
      </c>
      <c r="M49" s="17" t="n">
        <v>30</v>
      </c>
      <c r="N49" s="17" t="inlineStr">
        <is>
          <t>No</t>
        </is>
      </c>
      <c r="O49" s="17">
        <f>TEXT(G49,"yyyy-mm")</f>
        <v/>
      </c>
      <c r="P49" s="17">
        <f>IF(H49&lt;20,"Low",IF(H49&lt;=60,"Medium","High"))</f>
        <v/>
      </c>
      <c r="Q49" s="17">
        <f>IF(I49&gt;0,"Yes","No")</f>
        <v/>
      </c>
      <c r="R49" s="17">
        <f>IF(N49="Yes",1,0)</f>
        <v/>
      </c>
      <c r="S49" s="17">
        <f>IF(N49=IF(OR(H49&gt;150,I49&gt;40),"Yes","No"),"Match","Mismatch")</f>
        <v/>
      </c>
    </row>
    <row r="50">
      <c r="A50" s="17" t="inlineStr">
        <is>
          <t>S00173</t>
        </is>
      </c>
      <c r="B50" s="17" t="inlineStr">
        <is>
          <t>P7565</t>
        </is>
      </c>
      <c r="C50" s="17" t="inlineStr">
        <is>
          <t>ambersmith</t>
        </is>
      </c>
      <c r="D50" s="17" t="inlineStr">
        <is>
          <t>Zombie Rush</t>
        </is>
      </c>
      <c r="E50" s="17" t="inlineStr">
        <is>
          <t>Console</t>
        </is>
      </c>
      <c r="F50" s="17" t="inlineStr">
        <is>
          <t>Central</t>
        </is>
      </c>
      <c r="G50" s="18" t="n">
        <v>45656</v>
      </c>
      <c r="H50" s="17" t="n">
        <v>156</v>
      </c>
      <c r="I50" s="17" t="n">
        <v>0</v>
      </c>
      <c r="J50" s="17" t="inlineStr">
        <is>
          <t>No Purchase</t>
        </is>
      </c>
      <c r="K50" s="17" t="inlineStr">
        <is>
          <t>Completed</t>
        </is>
      </c>
      <c r="L50" s="17" t="inlineStr">
        <is>
          <t>Free</t>
        </is>
      </c>
      <c r="M50" s="17" t="n">
        <v>34</v>
      </c>
      <c r="N50" s="17" t="inlineStr">
        <is>
          <t>Yes</t>
        </is>
      </c>
      <c r="O50" s="17">
        <f>TEXT(G50,"yyyy-mm")</f>
        <v/>
      </c>
      <c r="P50" s="17">
        <f>IF(H50&lt;20,"Low",IF(H50&lt;=60,"Medium","High"))</f>
        <v/>
      </c>
      <c r="Q50" s="17">
        <f>IF(I50&gt;0,"Yes","No")</f>
        <v/>
      </c>
      <c r="R50" s="17">
        <f>IF(N50="Yes",1,0)</f>
        <v/>
      </c>
      <c r="S50" s="17">
        <f>IF(N50=IF(OR(H50&gt;150,I50&gt;40),"Yes","No"),"Match","Mismatch")</f>
        <v/>
      </c>
    </row>
    <row r="51">
      <c r="A51" s="17" t="inlineStr">
        <is>
          <t>S00416</t>
        </is>
      </c>
      <c r="B51" s="17" t="inlineStr">
        <is>
          <t>P1436</t>
        </is>
      </c>
      <c r="C51" s="17" t="inlineStr">
        <is>
          <t>coxanthony</t>
        </is>
      </c>
      <c r="D51" s="17" t="inlineStr">
        <is>
          <t>Empire Wars</t>
        </is>
      </c>
      <c r="E51" s="17" t="inlineStr">
        <is>
          <t>PC</t>
        </is>
      </c>
      <c r="F51" s="17" t="inlineStr">
        <is>
          <t>North-East</t>
        </is>
      </c>
      <c r="G51" s="18" t="n">
        <v>45657</v>
      </c>
      <c r="H51" s="17" t="n">
        <v>86</v>
      </c>
      <c r="I51" s="17" t="n">
        <v>0</v>
      </c>
      <c r="J51" s="17" t="inlineStr">
        <is>
          <t>No Purchase</t>
        </is>
      </c>
      <c r="K51" s="17" t="inlineStr">
        <is>
          <t>Incomplete</t>
        </is>
      </c>
      <c r="L51" s="17" t="inlineStr">
        <is>
          <t>Paid</t>
        </is>
      </c>
      <c r="M51" s="17" t="n">
        <v>17</v>
      </c>
      <c r="N51" s="17" t="inlineStr">
        <is>
          <t>No</t>
        </is>
      </c>
      <c r="O51" s="17">
        <f>TEXT(G51,"yyyy-mm")</f>
        <v/>
      </c>
      <c r="P51" s="17">
        <f>IF(H51&lt;20,"Low",IF(H51&lt;=60,"Medium","High"))</f>
        <v/>
      </c>
      <c r="Q51" s="17">
        <f>IF(I51&gt;0,"Yes","No")</f>
        <v/>
      </c>
      <c r="R51" s="17">
        <f>IF(N51="Yes",1,0)</f>
        <v/>
      </c>
      <c r="S51" s="17">
        <f>IF(N51=IF(OR(H51&gt;150,I51&gt;40),"Yes","No"),"Match","Mismatch")</f>
        <v/>
      </c>
    </row>
    <row r="52">
      <c r="A52" s="17" t="inlineStr">
        <is>
          <t>S00333</t>
        </is>
      </c>
      <c r="B52" s="17" t="inlineStr">
        <is>
          <t>P8963</t>
        </is>
      </c>
      <c r="C52" s="17" t="inlineStr">
        <is>
          <t>justin27</t>
        </is>
      </c>
      <c r="D52" s="17" t="inlineStr">
        <is>
          <t>Empire Wars</t>
        </is>
      </c>
      <c r="E52" s="17" t="inlineStr">
        <is>
          <t>Console</t>
        </is>
      </c>
      <c r="F52" s="17" t="inlineStr">
        <is>
          <t>North</t>
        </is>
      </c>
      <c r="G52" s="18" t="n">
        <v>45657</v>
      </c>
      <c r="H52" s="17" t="n">
        <v>18</v>
      </c>
      <c r="I52" s="17" t="n">
        <v>36.07</v>
      </c>
      <c r="J52" s="17" t="inlineStr">
        <is>
          <t>Battle Pass</t>
        </is>
      </c>
      <c r="K52" s="17" t="inlineStr">
        <is>
          <t>Completed</t>
        </is>
      </c>
      <c r="L52" s="17" t="inlineStr">
        <is>
          <t>Paid</t>
        </is>
      </c>
      <c r="M52" s="17" t="n">
        <v>4</v>
      </c>
      <c r="N52" s="17" t="inlineStr">
        <is>
          <t>No</t>
        </is>
      </c>
      <c r="O52" s="17">
        <f>TEXT(G52,"yyyy-mm")</f>
        <v/>
      </c>
      <c r="P52" s="17">
        <f>IF(H52&lt;20,"Low",IF(H52&lt;=60,"Medium","High"))</f>
        <v/>
      </c>
      <c r="Q52" s="17">
        <f>IF(I52&gt;0,"Yes","No")</f>
        <v/>
      </c>
      <c r="R52" s="17">
        <f>IF(N52="Yes",1,0)</f>
        <v/>
      </c>
      <c r="S52" s="17">
        <f>IF(N52=IF(OR(H52&gt;150,I52&gt;40),"Yes","No"),"Match","Mismatch")</f>
        <v/>
      </c>
    </row>
    <row r="53">
      <c r="A53" s="17" t="inlineStr">
        <is>
          <t>S00163</t>
        </is>
      </c>
      <c r="B53" s="17" t="inlineStr">
        <is>
          <t>P8379</t>
        </is>
      </c>
      <c r="C53" s="17" t="inlineStr">
        <is>
          <t>uhudson</t>
        </is>
      </c>
      <c r="D53" s="17" t="inlineStr">
        <is>
          <t>Clash of Realms</t>
        </is>
      </c>
      <c r="E53" s="17" t="inlineStr">
        <is>
          <t>Console</t>
        </is>
      </c>
      <c r="F53" s="17" t="inlineStr">
        <is>
          <t>North-East</t>
        </is>
      </c>
      <c r="G53" s="18" t="n">
        <v>45658</v>
      </c>
      <c r="H53" s="17" t="n">
        <v>38</v>
      </c>
      <c r="I53" s="17" t="n">
        <v>0</v>
      </c>
      <c r="J53" s="17" t="inlineStr">
        <is>
          <t>No Purchase</t>
        </is>
      </c>
      <c r="K53" s="17" t="inlineStr">
        <is>
          <t>Completed</t>
        </is>
      </c>
      <c r="L53" s="17" t="inlineStr">
        <is>
          <t>Free</t>
        </is>
      </c>
      <c r="M53" s="17" t="n">
        <v>21</v>
      </c>
      <c r="N53" s="17" t="inlineStr">
        <is>
          <t>No</t>
        </is>
      </c>
      <c r="O53" s="17">
        <f>TEXT(G53,"yyyy-mm")</f>
        <v/>
      </c>
      <c r="P53" s="17">
        <f>IF(H53&lt;20,"Low",IF(H53&lt;=60,"Medium","High"))</f>
        <v/>
      </c>
      <c r="Q53" s="17">
        <f>IF(I53&gt;0,"Yes","No")</f>
        <v/>
      </c>
      <c r="R53" s="17">
        <f>IF(N53="Yes",1,0)</f>
        <v/>
      </c>
      <c r="S53" s="17">
        <f>IF(N53=IF(OR(H53&gt;150,I53&gt;40),"Yes","No"),"Match","Mismatch")</f>
        <v/>
      </c>
    </row>
    <row r="54">
      <c r="A54" s="17" t="inlineStr">
        <is>
          <t>S00050</t>
        </is>
      </c>
      <c r="B54" s="17" t="inlineStr">
        <is>
          <t>P5155</t>
        </is>
      </c>
      <c r="C54" s="17" t="inlineStr">
        <is>
          <t>griffinsarah</t>
        </is>
      </c>
      <c r="D54" s="17" t="inlineStr">
        <is>
          <t>SpeedX</t>
        </is>
      </c>
      <c r="E54" s="17" t="inlineStr">
        <is>
          <t>Mobile</t>
        </is>
      </c>
      <c r="F54" s="17" t="inlineStr">
        <is>
          <t>Central</t>
        </is>
      </c>
      <c r="G54" s="18" t="n">
        <v>45658</v>
      </c>
      <c r="H54" s="17" t="n">
        <v>82</v>
      </c>
      <c r="I54" s="17" t="n">
        <v>0</v>
      </c>
      <c r="J54" s="17" t="inlineStr">
        <is>
          <t>No Purchase</t>
        </is>
      </c>
      <c r="K54" s="17" t="inlineStr">
        <is>
          <t>Incomplete</t>
        </is>
      </c>
      <c r="L54" s="17" t="inlineStr">
        <is>
          <t>Free</t>
        </is>
      </c>
      <c r="M54" s="17" t="n">
        <v>26</v>
      </c>
      <c r="N54" s="17" t="inlineStr">
        <is>
          <t>No</t>
        </is>
      </c>
      <c r="O54" s="17">
        <f>TEXT(G54,"yyyy-mm")</f>
        <v/>
      </c>
      <c r="P54" s="17">
        <f>IF(H54&lt;20,"Low",IF(H54&lt;=60,"Medium","High"))</f>
        <v/>
      </c>
      <c r="Q54" s="17">
        <f>IF(I54&gt;0,"Yes","No")</f>
        <v/>
      </c>
      <c r="R54" s="17">
        <f>IF(N54="Yes",1,0)</f>
        <v/>
      </c>
      <c r="S54" s="17">
        <f>IF(N54=IF(OR(H54&gt;150,I54&gt;40),"Yes","No"),"Match","Mismatch")</f>
        <v/>
      </c>
    </row>
    <row r="55">
      <c r="A55" s="17" t="inlineStr">
        <is>
          <t>S00135</t>
        </is>
      </c>
      <c r="B55" s="17" t="inlineStr">
        <is>
          <t>P9368</t>
        </is>
      </c>
      <c r="C55" s="17" t="inlineStr">
        <is>
          <t>thomasmonica</t>
        </is>
      </c>
      <c r="D55" s="17" t="inlineStr">
        <is>
          <t>SpeedX</t>
        </is>
      </c>
      <c r="E55" s="17" t="inlineStr">
        <is>
          <t>PC</t>
        </is>
      </c>
      <c r="F55" s="17" t="inlineStr">
        <is>
          <t>East</t>
        </is>
      </c>
      <c r="G55" s="18" t="n">
        <v>45658</v>
      </c>
      <c r="H55" s="17" t="n">
        <v>175</v>
      </c>
      <c r="I55" s="17" t="n">
        <v>0</v>
      </c>
      <c r="J55" s="17" t="inlineStr">
        <is>
          <t>No Purchase</t>
        </is>
      </c>
      <c r="K55" s="17" t="inlineStr">
        <is>
          <t>Completed</t>
        </is>
      </c>
      <c r="L55" s="17" t="inlineStr">
        <is>
          <t>Free</t>
        </is>
      </c>
      <c r="M55" s="17" t="n">
        <v>49</v>
      </c>
      <c r="N55" s="17" t="inlineStr">
        <is>
          <t>Yes</t>
        </is>
      </c>
      <c r="O55" s="17">
        <f>TEXT(G55,"yyyy-mm")</f>
        <v/>
      </c>
      <c r="P55" s="17">
        <f>IF(H55&lt;20,"Low",IF(H55&lt;=60,"Medium","High"))</f>
        <v/>
      </c>
      <c r="Q55" s="17">
        <f>IF(I55&gt;0,"Yes","No")</f>
        <v/>
      </c>
      <c r="R55" s="17">
        <f>IF(N55="Yes",1,0)</f>
        <v/>
      </c>
      <c r="S55" s="17">
        <f>IF(N55=IF(OR(H55&gt;150,I55&gt;40),"Yes","No"),"Match","Mismatch")</f>
        <v/>
      </c>
    </row>
    <row r="56">
      <c r="A56" s="17" t="inlineStr">
        <is>
          <t>S00063</t>
        </is>
      </c>
      <c r="B56" s="17" t="inlineStr">
        <is>
          <t>P3641</t>
        </is>
      </c>
      <c r="C56" s="17" t="inlineStr">
        <is>
          <t>davischristopher</t>
        </is>
      </c>
      <c r="D56" s="17" t="inlineStr">
        <is>
          <t>Zombie Rush</t>
        </is>
      </c>
      <c r="E56" s="17" t="inlineStr">
        <is>
          <t>Console</t>
        </is>
      </c>
      <c r="F56" s="17" t="inlineStr">
        <is>
          <t>West</t>
        </is>
      </c>
      <c r="G56" s="18" t="n">
        <v>45658</v>
      </c>
      <c r="H56" s="17" t="n">
        <v>77</v>
      </c>
      <c r="I56" s="17" t="n">
        <v>39.88</v>
      </c>
      <c r="J56" s="17" t="inlineStr">
        <is>
          <t>Skins</t>
        </is>
      </c>
      <c r="K56" s="17" t="inlineStr">
        <is>
          <t>Completed</t>
        </is>
      </c>
      <c r="L56" s="17" t="inlineStr">
        <is>
          <t>Paid</t>
        </is>
      </c>
      <c r="M56" s="17" t="n">
        <v>25</v>
      </c>
      <c r="N56" s="17" t="inlineStr">
        <is>
          <t>No</t>
        </is>
      </c>
      <c r="O56" s="17">
        <f>TEXT(G56,"yyyy-mm")</f>
        <v/>
      </c>
      <c r="P56" s="17">
        <f>IF(H56&lt;20,"Low",IF(H56&lt;=60,"Medium","High"))</f>
        <v/>
      </c>
      <c r="Q56" s="17">
        <f>IF(I56&gt;0,"Yes","No")</f>
        <v/>
      </c>
      <c r="R56" s="17">
        <f>IF(N56="Yes",1,0)</f>
        <v/>
      </c>
      <c r="S56" s="17">
        <f>IF(N56=IF(OR(H56&gt;150,I56&gt;40),"Yes","No"),"Match","Mismatch")</f>
        <v/>
      </c>
    </row>
    <row r="57">
      <c r="A57" s="17" t="inlineStr">
        <is>
          <t>S00072</t>
        </is>
      </c>
      <c r="B57" s="17" t="inlineStr">
        <is>
          <t>P3539</t>
        </is>
      </c>
      <c r="C57" s="17" t="inlineStr">
        <is>
          <t>martinderrick</t>
        </is>
      </c>
      <c r="D57" s="17" t="inlineStr">
        <is>
          <t>Zombie Rush</t>
        </is>
      </c>
      <c r="E57" s="17" t="inlineStr">
        <is>
          <t>Console</t>
        </is>
      </c>
      <c r="F57" s="17" t="inlineStr">
        <is>
          <t>South</t>
        </is>
      </c>
      <c r="G57" s="18" t="n">
        <v>45659</v>
      </c>
      <c r="H57" s="17" t="n">
        <v>84</v>
      </c>
      <c r="I57" s="17" t="n">
        <v>0</v>
      </c>
      <c r="J57" s="17" t="inlineStr">
        <is>
          <t>No Purchase</t>
        </is>
      </c>
      <c r="K57" s="17" t="inlineStr">
        <is>
          <t>Completed</t>
        </is>
      </c>
      <c r="L57" s="17" t="inlineStr">
        <is>
          <t>Free</t>
        </is>
      </c>
      <c r="M57" s="17" t="n">
        <v>11</v>
      </c>
      <c r="N57" s="17" t="inlineStr">
        <is>
          <t>No</t>
        </is>
      </c>
      <c r="O57" s="17">
        <f>TEXT(G57,"yyyy-mm")</f>
        <v/>
      </c>
      <c r="P57" s="17">
        <f>IF(H57&lt;20,"Low",IF(H57&lt;=60,"Medium","High"))</f>
        <v/>
      </c>
      <c r="Q57" s="17">
        <f>IF(I57&gt;0,"Yes","No")</f>
        <v/>
      </c>
      <c r="R57" s="17">
        <f>IF(N57="Yes",1,0)</f>
        <v/>
      </c>
      <c r="S57" s="17">
        <f>IF(N57=IF(OR(H57&gt;150,I57&gt;40),"Yes","No"),"Match","Mismatch")</f>
        <v/>
      </c>
    </row>
    <row r="58">
      <c r="A58" s="17" t="inlineStr">
        <is>
          <t>S00196</t>
        </is>
      </c>
      <c r="B58" s="17" t="inlineStr">
        <is>
          <t>P5750</t>
        </is>
      </c>
      <c r="C58" s="17" t="inlineStr">
        <is>
          <t>walterkayla</t>
        </is>
      </c>
      <c r="D58" s="17" t="inlineStr">
        <is>
          <t>BattleZone</t>
        </is>
      </c>
      <c r="E58" s="17" t="inlineStr">
        <is>
          <t>Console</t>
        </is>
      </c>
      <c r="F58" s="17" t="inlineStr">
        <is>
          <t>Central</t>
        </is>
      </c>
      <c r="G58" s="18" t="n">
        <v>45659</v>
      </c>
      <c r="H58" s="17" t="n">
        <v>35</v>
      </c>
      <c r="I58" s="17" t="n">
        <v>18.72</v>
      </c>
      <c r="J58" s="17" t="inlineStr">
        <is>
          <t>Skins</t>
        </is>
      </c>
      <c r="K58" s="17" t="inlineStr">
        <is>
          <t>Completed</t>
        </is>
      </c>
      <c r="L58" s="17" t="inlineStr">
        <is>
          <t>Paid</t>
        </is>
      </c>
      <c r="M58" s="17" t="n">
        <v>20</v>
      </c>
      <c r="N58" s="17" t="inlineStr">
        <is>
          <t>No</t>
        </is>
      </c>
      <c r="O58" s="17">
        <f>TEXT(G58,"yyyy-mm")</f>
        <v/>
      </c>
      <c r="P58" s="17">
        <f>IF(H58&lt;20,"Low",IF(H58&lt;=60,"Medium","High"))</f>
        <v/>
      </c>
      <c r="Q58" s="17">
        <f>IF(I58&gt;0,"Yes","No")</f>
        <v/>
      </c>
      <c r="R58" s="17">
        <f>IF(N58="Yes",1,0)</f>
        <v/>
      </c>
      <c r="S58" s="17">
        <f>IF(N58=IF(OR(H58&gt;150,I58&gt;40),"Yes","No"),"Match","Mismatch")</f>
        <v/>
      </c>
    </row>
    <row r="59">
      <c r="A59" s="17" t="inlineStr">
        <is>
          <t>S00242</t>
        </is>
      </c>
      <c r="B59" s="17" t="inlineStr">
        <is>
          <t>P7057</t>
        </is>
      </c>
      <c r="C59" s="17" t="inlineStr">
        <is>
          <t>anthony60</t>
        </is>
      </c>
      <c r="D59" s="17" t="inlineStr">
        <is>
          <t>Zombie Rush</t>
        </is>
      </c>
      <c r="E59" s="17" t="inlineStr">
        <is>
          <t>Console</t>
        </is>
      </c>
      <c r="F59" s="17" t="inlineStr">
        <is>
          <t>North-East</t>
        </is>
      </c>
      <c r="G59" s="18" t="n">
        <v>45660</v>
      </c>
      <c r="H59" s="17" t="n">
        <v>115</v>
      </c>
      <c r="I59" s="17" t="n">
        <v>0</v>
      </c>
      <c r="J59" s="17" t="inlineStr">
        <is>
          <t>No Purchase</t>
        </is>
      </c>
      <c r="K59" s="17" t="inlineStr">
        <is>
          <t>Completed</t>
        </is>
      </c>
      <c r="L59" s="17" t="inlineStr">
        <is>
          <t>Free</t>
        </is>
      </c>
      <c r="M59" s="17" t="n">
        <v>18</v>
      </c>
      <c r="N59" s="17" t="inlineStr">
        <is>
          <t>No</t>
        </is>
      </c>
      <c r="O59" s="17">
        <f>TEXT(G59,"yyyy-mm")</f>
        <v/>
      </c>
      <c r="P59" s="17">
        <f>IF(H59&lt;20,"Low",IF(H59&lt;=60,"Medium","High"))</f>
        <v/>
      </c>
      <c r="Q59" s="17">
        <f>IF(I59&gt;0,"Yes","No")</f>
        <v/>
      </c>
      <c r="R59" s="17">
        <f>IF(N59="Yes",1,0)</f>
        <v/>
      </c>
      <c r="S59" s="17">
        <f>IF(N59=IF(OR(H59&gt;150,I59&gt;40),"Yes","No"),"Match","Mismatch")</f>
        <v/>
      </c>
    </row>
    <row r="60">
      <c r="A60" s="17" t="inlineStr">
        <is>
          <t>S00499</t>
        </is>
      </c>
      <c r="B60" s="17" t="inlineStr">
        <is>
          <t>P1107</t>
        </is>
      </c>
      <c r="C60" s="17" t="inlineStr">
        <is>
          <t>victoria57</t>
        </is>
      </c>
      <c r="D60" s="17" t="inlineStr">
        <is>
          <t>Clash of Realms</t>
        </is>
      </c>
      <c r="E60" s="17" t="inlineStr">
        <is>
          <t>Mobile</t>
        </is>
      </c>
      <c r="F60" s="17" t="inlineStr">
        <is>
          <t>South</t>
        </is>
      </c>
      <c r="G60" s="18" t="n">
        <v>45660</v>
      </c>
      <c r="H60" s="17" t="n">
        <v>172</v>
      </c>
      <c r="I60" s="17" t="n">
        <v>0</v>
      </c>
      <c r="J60" s="17" t="inlineStr">
        <is>
          <t>No Purchase</t>
        </is>
      </c>
      <c r="K60" s="17" t="inlineStr">
        <is>
          <t>Exited Early</t>
        </is>
      </c>
      <c r="L60" s="17" t="inlineStr">
        <is>
          <t>Free</t>
        </is>
      </c>
      <c r="M60" s="17" t="n">
        <v>4</v>
      </c>
      <c r="N60" s="17" t="inlineStr">
        <is>
          <t>Yes</t>
        </is>
      </c>
      <c r="O60" s="17">
        <f>TEXT(G60,"yyyy-mm")</f>
        <v/>
      </c>
      <c r="P60" s="17">
        <f>IF(H60&lt;20,"Low",IF(H60&lt;=60,"Medium","High"))</f>
        <v/>
      </c>
      <c r="Q60" s="17">
        <f>IF(I60&gt;0,"Yes","No")</f>
        <v/>
      </c>
      <c r="R60" s="17">
        <f>IF(N60="Yes",1,0)</f>
        <v/>
      </c>
      <c r="S60" s="17">
        <f>IF(N60=IF(OR(H60&gt;150,I60&gt;40),"Yes","No"),"Match","Mismatch")</f>
        <v/>
      </c>
    </row>
    <row r="61">
      <c r="A61" s="17" t="inlineStr">
        <is>
          <t>S00451</t>
        </is>
      </c>
      <c r="B61" s="17" t="inlineStr">
        <is>
          <t>P5894</t>
        </is>
      </c>
      <c r="C61" s="17" t="inlineStr">
        <is>
          <t>chendavid</t>
        </is>
      </c>
      <c r="D61" s="17" t="inlineStr">
        <is>
          <t>Empire Wars</t>
        </is>
      </c>
      <c r="E61" s="17" t="inlineStr">
        <is>
          <t>Mobile</t>
        </is>
      </c>
      <c r="F61" s="17" t="inlineStr">
        <is>
          <t>North</t>
        </is>
      </c>
      <c r="G61" s="18" t="n">
        <v>45660</v>
      </c>
      <c r="H61" s="17" t="n">
        <v>33</v>
      </c>
      <c r="I61" s="17" t="n">
        <v>0</v>
      </c>
      <c r="J61" s="17" t="inlineStr">
        <is>
          <t>No Purchase</t>
        </is>
      </c>
      <c r="K61" s="17" t="inlineStr">
        <is>
          <t>Completed</t>
        </is>
      </c>
      <c r="L61" s="17" t="inlineStr">
        <is>
          <t>Free</t>
        </is>
      </c>
      <c r="M61" s="17" t="n">
        <v>32</v>
      </c>
      <c r="N61" s="17" t="inlineStr">
        <is>
          <t>No</t>
        </is>
      </c>
      <c r="O61" s="17">
        <f>TEXT(G61,"yyyy-mm")</f>
        <v/>
      </c>
      <c r="P61" s="17">
        <f>IF(H61&lt;20,"Low",IF(H61&lt;=60,"Medium","High"))</f>
        <v/>
      </c>
      <c r="Q61" s="17">
        <f>IF(I61&gt;0,"Yes","No")</f>
        <v/>
      </c>
      <c r="R61" s="17">
        <f>IF(N61="Yes",1,0)</f>
        <v/>
      </c>
      <c r="S61" s="17">
        <f>IF(N61=IF(OR(H61&gt;150,I61&gt;40),"Yes","No"),"Match","Mismatch")</f>
        <v/>
      </c>
    </row>
    <row r="62">
      <c r="A62" s="17" t="inlineStr">
        <is>
          <t>S00391</t>
        </is>
      </c>
      <c r="B62" s="17" t="inlineStr">
        <is>
          <t>P1344</t>
        </is>
      </c>
      <c r="C62" s="17" t="inlineStr">
        <is>
          <t>williamsonkirsten</t>
        </is>
      </c>
      <c r="D62" s="17" t="inlineStr">
        <is>
          <t>SpeedX</t>
        </is>
      </c>
      <c r="E62" s="17" t="inlineStr">
        <is>
          <t>PC</t>
        </is>
      </c>
      <c r="F62" s="17" t="inlineStr">
        <is>
          <t>West</t>
        </is>
      </c>
      <c r="G62" s="18" t="n">
        <v>45660</v>
      </c>
      <c r="H62" s="17" t="n">
        <v>49</v>
      </c>
      <c r="I62" s="17" t="n">
        <v>19.43</v>
      </c>
      <c r="J62" s="17" t="inlineStr">
        <is>
          <t>Battle Pass</t>
        </is>
      </c>
      <c r="K62" s="17" t="inlineStr">
        <is>
          <t>Completed</t>
        </is>
      </c>
      <c r="L62" s="17" t="inlineStr">
        <is>
          <t>Paid</t>
        </is>
      </c>
      <c r="M62" s="17" t="n">
        <v>22</v>
      </c>
      <c r="N62" s="17" t="inlineStr">
        <is>
          <t>No</t>
        </is>
      </c>
      <c r="O62" s="17">
        <f>TEXT(G62,"yyyy-mm")</f>
        <v/>
      </c>
      <c r="P62" s="17">
        <f>IF(H62&lt;20,"Low",IF(H62&lt;=60,"Medium","High"))</f>
        <v/>
      </c>
      <c r="Q62" s="17">
        <f>IF(I62&gt;0,"Yes","No")</f>
        <v/>
      </c>
      <c r="R62" s="17">
        <f>IF(N62="Yes",1,0)</f>
        <v/>
      </c>
      <c r="S62" s="17">
        <f>IF(N62=IF(OR(H62&gt;150,I62&gt;40),"Yes","No"),"Match","Mismatch")</f>
        <v/>
      </c>
    </row>
    <row r="63">
      <c r="A63" s="17" t="inlineStr">
        <is>
          <t>S00127</t>
        </is>
      </c>
      <c r="B63" s="17" t="inlineStr">
        <is>
          <t>P6411</t>
        </is>
      </c>
      <c r="C63" s="17" t="inlineStr">
        <is>
          <t>jacobsonmichael</t>
        </is>
      </c>
      <c r="D63" s="17" t="inlineStr">
        <is>
          <t>BattleZone</t>
        </is>
      </c>
      <c r="E63" s="17" t="inlineStr">
        <is>
          <t>Console</t>
        </is>
      </c>
      <c r="F63" s="17" t="inlineStr">
        <is>
          <t>West</t>
        </is>
      </c>
      <c r="G63" s="18" t="n">
        <v>45661</v>
      </c>
      <c r="H63" s="17" t="n">
        <v>153</v>
      </c>
      <c r="I63" s="17" t="n">
        <v>0</v>
      </c>
      <c r="J63" s="17" t="inlineStr">
        <is>
          <t>No Purchase</t>
        </is>
      </c>
      <c r="K63" s="17" t="inlineStr">
        <is>
          <t>Exited Early</t>
        </is>
      </c>
      <c r="L63" s="17" t="inlineStr">
        <is>
          <t>Free</t>
        </is>
      </c>
      <c r="M63" s="17" t="n">
        <v>15</v>
      </c>
      <c r="N63" s="17" t="inlineStr">
        <is>
          <t>Yes</t>
        </is>
      </c>
      <c r="O63" s="17">
        <f>TEXT(G63,"yyyy-mm")</f>
        <v/>
      </c>
      <c r="P63" s="17">
        <f>IF(H63&lt;20,"Low",IF(H63&lt;=60,"Medium","High"))</f>
        <v/>
      </c>
      <c r="Q63" s="17">
        <f>IF(I63&gt;0,"Yes","No")</f>
        <v/>
      </c>
      <c r="R63" s="17">
        <f>IF(N63="Yes",1,0)</f>
        <v/>
      </c>
      <c r="S63" s="17">
        <f>IF(N63=IF(OR(H63&gt;150,I63&gt;40),"Yes","No"),"Match","Mismatch")</f>
        <v/>
      </c>
    </row>
    <row r="64">
      <c r="A64" s="17" t="inlineStr">
        <is>
          <t>S00090</t>
        </is>
      </c>
      <c r="B64" s="17" t="inlineStr">
        <is>
          <t>P3420</t>
        </is>
      </c>
      <c r="C64" s="17" t="inlineStr">
        <is>
          <t>boylejeffrey</t>
        </is>
      </c>
      <c r="D64" s="17" t="inlineStr">
        <is>
          <t>Empire Wars</t>
        </is>
      </c>
      <c r="E64" s="17" t="inlineStr">
        <is>
          <t>Mobile</t>
        </is>
      </c>
      <c r="F64" s="17" t="inlineStr">
        <is>
          <t>North-East</t>
        </is>
      </c>
      <c r="G64" s="18" t="n">
        <v>45661</v>
      </c>
      <c r="H64" s="17" t="n">
        <v>115</v>
      </c>
      <c r="I64" s="17" t="n">
        <v>0</v>
      </c>
      <c r="J64" s="17" t="inlineStr">
        <is>
          <t>No Purchase</t>
        </is>
      </c>
      <c r="K64" s="17" t="inlineStr">
        <is>
          <t>Completed</t>
        </is>
      </c>
      <c r="L64" s="17" t="inlineStr">
        <is>
          <t>Free</t>
        </is>
      </c>
      <c r="M64" s="17" t="n">
        <v>17</v>
      </c>
      <c r="N64" s="17" t="inlineStr">
        <is>
          <t>No</t>
        </is>
      </c>
      <c r="O64" s="17">
        <f>TEXT(G64,"yyyy-mm")</f>
        <v/>
      </c>
      <c r="P64" s="17">
        <f>IF(H64&lt;20,"Low",IF(H64&lt;=60,"Medium","High"))</f>
        <v/>
      </c>
      <c r="Q64" s="17">
        <f>IF(I64&gt;0,"Yes","No")</f>
        <v/>
      </c>
      <c r="R64" s="17">
        <f>IF(N64="Yes",1,0)</f>
        <v/>
      </c>
      <c r="S64" s="17">
        <f>IF(N64=IF(OR(H64&gt;150,I64&gt;40),"Yes","No"),"Match","Mismatch")</f>
        <v/>
      </c>
    </row>
    <row r="65">
      <c r="A65" s="17" t="inlineStr">
        <is>
          <t>S00178</t>
        </is>
      </c>
      <c r="B65" s="17" t="inlineStr">
        <is>
          <t>P4333</t>
        </is>
      </c>
      <c r="C65" s="17" t="inlineStr">
        <is>
          <t>matthewcasey</t>
        </is>
      </c>
      <c r="D65" s="17" t="inlineStr">
        <is>
          <t>Empire Wars</t>
        </is>
      </c>
      <c r="E65" s="17" t="inlineStr">
        <is>
          <t>Mobile</t>
        </is>
      </c>
      <c r="F65" s="17" t="inlineStr">
        <is>
          <t>North</t>
        </is>
      </c>
      <c r="G65" s="18" t="n">
        <v>45662</v>
      </c>
      <c r="H65" s="17" t="n">
        <v>100</v>
      </c>
      <c r="I65" s="17" t="n">
        <v>0</v>
      </c>
      <c r="J65" s="17" t="inlineStr">
        <is>
          <t>No Purchase</t>
        </is>
      </c>
      <c r="K65" s="17" t="inlineStr">
        <is>
          <t>Completed</t>
        </is>
      </c>
      <c r="L65" s="17" t="inlineStr">
        <is>
          <t>Free</t>
        </is>
      </c>
      <c r="M65" s="17" t="n">
        <v>7</v>
      </c>
      <c r="N65" s="17" t="inlineStr">
        <is>
          <t>No</t>
        </is>
      </c>
      <c r="O65" s="17">
        <f>TEXT(G65,"yyyy-mm")</f>
        <v/>
      </c>
      <c r="P65" s="17">
        <f>IF(H65&lt;20,"Low",IF(H65&lt;=60,"Medium","High"))</f>
        <v/>
      </c>
      <c r="Q65" s="17">
        <f>IF(I65&gt;0,"Yes","No")</f>
        <v/>
      </c>
      <c r="R65" s="17">
        <f>IF(N65="Yes",1,0)</f>
        <v/>
      </c>
      <c r="S65" s="17">
        <f>IF(N65=IF(OR(H65&gt;150,I65&gt;40),"Yes","No"),"Match","Mismatch")</f>
        <v/>
      </c>
    </row>
    <row r="66">
      <c r="A66" s="17" t="inlineStr">
        <is>
          <t>S00489</t>
        </is>
      </c>
      <c r="B66" s="17" t="inlineStr">
        <is>
          <t>P1280</t>
        </is>
      </c>
      <c r="C66" s="17" t="inlineStr">
        <is>
          <t>elizabeth71</t>
        </is>
      </c>
      <c r="D66" s="17" t="inlineStr">
        <is>
          <t>BattleZone</t>
        </is>
      </c>
      <c r="E66" s="17" t="inlineStr">
        <is>
          <t>Mobile</t>
        </is>
      </c>
      <c r="F66" s="17" t="inlineStr">
        <is>
          <t>South</t>
        </is>
      </c>
      <c r="G66" s="18" t="n">
        <v>45662</v>
      </c>
      <c r="H66" s="17" t="n">
        <v>55</v>
      </c>
      <c r="I66" s="17" t="n">
        <v>0</v>
      </c>
      <c r="J66" s="17" t="inlineStr">
        <is>
          <t>No Purchase</t>
        </is>
      </c>
      <c r="K66" s="17" t="inlineStr">
        <is>
          <t>Exited Early</t>
        </is>
      </c>
      <c r="L66" s="17" t="inlineStr">
        <is>
          <t>Free</t>
        </is>
      </c>
      <c r="M66" s="17" t="n">
        <v>26</v>
      </c>
      <c r="N66" s="17" t="inlineStr">
        <is>
          <t>No</t>
        </is>
      </c>
      <c r="O66" s="17">
        <f>TEXT(G66,"yyyy-mm")</f>
        <v/>
      </c>
      <c r="P66" s="17">
        <f>IF(H66&lt;20,"Low",IF(H66&lt;=60,"Medium","High"))</f>
        <v/>
      </c>
      <c r="Q66" s="17">
        <f>IF(I66&gt;0,"Yes","No")</f>
        <v/>
      </c>
      <c r="R66" s="17">
        <f>IF(N66="Yes",1,0)</f>
        <v/>
      </c>
      <c r="S66" s="17">
        <f>IF(N66=IF(OR(H66&gt;150,I66&gt;40),"Yes","No"),"Match","Mismatch")</f>
        <v/>
      </c>
    </row>
    <row r="67">
      <c r="A67" s="17" t="inlineStr">
        <is>
          <t>S00067</t>
        </is>
      </c>
      <c r="B67" s="17" t="inlineStr">
        <is>
          <t>P9667</t>
        </is>
      </c>
      <c r="C67" s="17" t="inlineStr">
        <is>
          <t>harrisonsteven</t>
        </is>
      </c>
      <c r="D67" s="17" t="inlineStr">
        <is>
          <t>SpeedX</t>
        </is>
      </c>
      <c r="E67" s="17" t="inlineStr">
        <is>
          <t>PC</t>
        </is>
      </c>
      <c r="F67" s="17" t="inlineStr">
        <is>
          <t>West</t>
        </is>
      </c>
      <c r="G67" s="18" t="n">
        <v>45662</v>
      </c>
      <c r="H67" s="17" t="n">
        <v>64</v>
      </c>
      <c r="I67" s="17" t="n">
        <v>0</v>
      </c>
      <c r="J67" s="17" t="inlineStr">
        <is>
          <t>No Purchase</t>
        </is>
      </c>
      <c r="K67" s="17" t="inlineStr">
        <is>
          <t>Exited Early</t>
        </is>
      </c>
      <c r="L67" s="17" t="inlineStr">
        <is>
          <t>Free</t>
        </is>
      </c>
      <c r="M67" s="17" t="n">
        <v>13</v>
      </c>
      <c r="N67" s="17" t="inlineStr">
        <is>
          <t>No</t>
        </is>
      </c>
      <c r="O67" s="17">
        <f>TEXT(G67,"yyyy-mm")</f>
        <v/>
      </c>
      <c r="P67" s="17">
        <f>IF(H67&lt;20,"Low",IF(H67&lt;=60,"Medium","High"))</f>
        <v/>
      </c>
      <c r="Q67" s="17">
        <f>IF(I67&gt;0,"Yes","No")</f>
        <v/>
      </c>
      <c r="R67" s="17">
        <f>IF(N67="Yes",1,0)</f>
        <v/>
      </c>
      <c r="S67" s="17">
        <f>IF(N67=IF(OR(H67&gt;150,I67&gt;40),"Yes","No"),"Match","Mismatch")</f>
        <v/>
      </c>
    </row>
    <row r="68">
      <c r="A68" s="17" t="inlineStr">
        <is>
          <t>S00225</t>
        </is>
      </c>
      <c r="B68" s="17" t="inlineStr">
        <is>
          <t>P1940</t>
        </is>
      </c>
      <c r="C68" s="17" t="inlineStr">
        <is>
          <t>richard18</t>
        </is>
      </c>
      <c r="D68" s="17" t="inlineStr">
        <is>
          <t>SpeedX</t>
        </is>
      </c>
      <c r="E68" s="17" t="inlineStr">
        <is>
          <t>Mobile</t>
        </is>
      </c>
      <c r="F68" s="17" t="inlineStr">
        <is>
          <t>East</t>
        </is>
      </c>
      <c r="G68" s="18" t="n">
        <v>45663</v>
      </c>
      <c r="H68" s="17" t="n">
        <v>117</v>
      </c>
      <c r="I68" s="17" t="n">
        <v>23.32</v>
      </c>
      <c r="J68" s="17" t="inlineStr">
        <is>
          <t>Boosters</t>
        </is>
      </c>
      <c r="K68" s="17" t="inlineStr">
        <is>
          <t>Completed</t>
        </is>
      </c>
      <c r="L68" s="17" t="inlineStr">
        <is>
          <t>Paid</t>
        </is>
      </c>
      <c r="M68" s="17" t="n">
        <v>11</v>
      </c>
      <c r="N68" s="17" t="inlineStr">
        <is>
          <t>No</t>
        </is>
      </c>
      <c r="O68" s="17">
        <f>TEXT(G68,"yyyy-mm")</f>
        <v/>
      </c>
      <c r="P68" s="17">
        <f>IF(H68&lt;20,"Low",IF(H68&lt;=60,"Medium","High"))</f>
        <v/>
      </c>
      <c r="Q68" s="17">
        <f>IF(I68&gt;0,"Yes","No")</f>
        <v/>
      </c>
      <c r="R68" s="17">
        <f>IF(N68="Yes",1,0)</f>
        <v/>
      </c>
      <c r="S68" s="17">
        <f>IF(N68=IF(OR(H68&gt;150,I68&gt;40),"Yes","No"),"Match","Mismatch")</f>
        <v/>
      </c>
    </row>
    <row r="69">
      <c r="A69" s="17" t="inlineStr">
        <is>
          <t>S00417</t>
        </is>
      </c>
      <c r="B69" s="17" t="inlineStr">
        <is>
          <t>P5233</t>
        </is>
      </c>
      <c r="C69" s="17" t="inlineStr">
        <is>
          <t>paige96</t>
        </is>
      </c>
      <c r="D69" s="17" t="inlineStr">
        <is>
          <t>Empire Wars</t>
        </is>
      </c>
      <c r="E69" s="17" t="inlineStr">
        <is>
          <t>Console</t>
        </is>
      </c>
      <c r="F69" s="17" t="inlineStr">
        <is>
          <t>West</t>
        </is>
      </c>
      <c r="G69" s="18" t="n">
        <v>45663</v>
      </c>
      <c r="H69" s="17" t="n">
        <v>12</v>
      </c>
      <c r="I69" s="17" t="n">
        <v>1.44</v>
      </c>
      <c r="J69" s="17" t="inlineStr">
        <is>
          <t>Boosters</t>
        </is>
      </c>
      <c r="K69" s="17" t="inlineStr">
        <is>
          <t>Completed</t>
        </is>
      </c>
      <c r="L69" s="17" t="inlineStr">
        <is>
          <t>Paid</t>
        </is>
      </c>
      <c r="M69" s="17" t="n">
        <v>15</v>
      </c>
      <c r="N69" s="17" t="inlineStr">
        <is>
          <t>No</t>
        </is>
      </c>
      <c r="O69" s="17">
        <f>TEXT(G69,"yyyy-mm")</f>
        <v/>
      </c>
      <c r="P69" s="17">
        <f>IF(H69&lt;20,"Low",IF(H69&lt;=60,"Medium","High"))</f>
        <v/>
      </c>
      <c r="Q69" s="17">
        <f>IF(I69&gt;0,"Yes","No")</f>
        <v/>
      </c>
      <c r="R69" s="17">
        <f>IF(N69="Yes",1,0)</f>
        <v/>
      </c>
      <c r="S69" s="17">
        <f>IF(N69=IF(OR(H69&gt;150,I69&gt;40),"Yes","No"),"Match","Mismatch")</f>
        <v/>
      </c>
    </row>
    <row r="70">
      <c r="A70" s="17" t="inlineStr">
        <is>
          <t>S00386</t>
        </is>
      </c>
      <c r="B70" s="17" t="inlineStr">
        <is>
          <t>P5885</t>
        </is>
      </c>
      <c r="C70" s="17" t="inlineStr">
        <is>
          <t>olopez</t>
        </is>
      </c>
      <c r="D70" s="17" t="inlineStr">
        <is>
          <t>Zombie Rush</t>
        </is>
      </c>
      <c r="E70" s="17" t="inlineStr">
        <is>
          <t>Console</t>
        </is>
      </c>
      <c r="F70" s="17" t="inlineStr">
        <is>
          <t>North-East</t>
        </is>
      </c>
      <c r="G70" s="18" t="n">
        <v>45663</v>
      </c>
      <c r="H70" s="17" t="n">
        <v>157</v>
      </c>
      <c r="I70" s="17" t="n">
        <v>0</v>
      </c>
      <c r="J70" s="17" t="inlineStr">
        <is>
          <t>No Purchase</t>
        </is>
      </c>
      <c r="K70" s="17" t="inlineStr">
        <is>
          <t>Completed</t>
        </is>
      </c>
      <c r="L70" s="17" t="inlineStr">
        <is>
          <t>Free</t>
        </is>
      </c>
      <c r="M70" s="17" t="n">
        <v>22</v>
      </c>
      <c r="N70" s="17" t="inlineStr">
        <is>
          <t>Yes</t>
        </is>
      </c>
      <c r="O70" s="17">
        <f>TEXT(G70,"yyyy-mm")</f>
        <v/>
      </c>
      <c r="P70" s="17">
        <f>IF(H70&lt;20,"Low",IF(H70&lt;=60,"Medium","High"))</f>
        <v/>
      </c>
      <c r="Q70" s="17">
        <f>IF(I70&gt;0,"Yes","No")</f>
        <v/>
      </c>
      <c r="R70" s="17">
        <f>IF(N70="Yes",1,0)</f>
        <v/>
      </c>
      <c r="S70" s="17">
        <f>IF(N70=IF(OR(H70&gt;150,I70&gt;40),"Yes","No"),"Match","Mismatch")</f>
        <v/>
      </c>
    </row>
    <row r="71">
      <c r="A71" s="17" t="inlineStr">
        <is>
          <t>S00313</t>
        </is>
      </c>
      <c r="B71" s="17" t="inlineStr">
        <is>
          <t>P9354</t>
        </is>
      </c>
      <c r="C71" s="17" t="inlineStr">
        <is>
          <t>jameswanda</t>
        </is>
      </c>
      <c r="D71" s="17" t="inlineStr">
        <is>
          <t>BattleZone</t>
        </is>
      </c>
      <c r="E71" s="17" t="inlineStr">
        <is>
          <t>PC</t>
        </is>
      </c>
      <c r="F71" s="17" t="inlineStr">
        <is>
          <t>West</t>
        </is>
      </c>
      <c r="G71" s="18" t="n">
        <v>45664</v>
      </c>
      <c r="H71" s="17" t="n">
        <v>85</v>
      </c>
      <c r="I71" s="17" t="n">
        <v>0</v>
      </c>
      <c r="J71" s="17" t="inlineStr">
        <is>
          <t>No Purchase</t>
        </is>
      </c>
      <c r="K71" s="17" t="inlineStr">
        <is>
          <t>Completed</t>
        </is>
      </c>
      <c r="L71" s="17" t="inlineStr">
        <is>
          <t>Free</t>
        </is>
      </c>
      <c r="M71" s="17" t="n">
        <v>28</v>
      </c>
      <c r="N71" s="17" t="inlineStr">
        <is>
          <t>No</t>
        </is>
      </c>
      <c r="O71" s="17">
        <f>TEXT(G71,"yyyy-mm")</f>
        <v/>
      </c>
      <c r="P71" s="17">
        <f>IF(H71&lt;20,"Low",IF(H71&lt;=60,"Medium","High"))</f>
        <v/>
      </c>
      <c r="Q71" s="17">
        <f>IF(I71&gt;0,"Yes","No")</f>
        <v/>
      </c>
      <c r="R71" s="17">
        <f>IF(N71="Yes",1,0)</f>
        <v/>
      </c>
      <c r="S71" s="17">
        <f>IF(N71=IF(OR(H71&gt;150,I71&gt;40),"Yes","No"),"Match","Mismatch")</f>
        <v/>
      </c>
    </row>
    <row r="72">
      <c r="A72" s="17" t="inlineStr">
        <is>
          <t>S00300</t>
        </is>
      </c>
      <c r="B72" s="17" t="inlineStr">
        <is>
          <t>P8477</t>
        </is>
      </c>
      <c r="C72" s="17" t="inlineStr">
        <is>
          <t>smallalice</t>
        </is>
      </c>
      <c r="D72" s="17" t="inlineStr">
        <is>
          <t>Zombie Rush</t>
        </is>
      </c>
      <c r="E72" s="17" t="inlineStr">
        <is>
          <t>Console</t>
        </is>
      </c>
      <c r="F72" s="17" t="inlineStr">
        <is>
          <t>East</t>
        </is>
      </c>
      <c r="G72" s="18" t="n">
        <v>45664</v>
      </c>
      <c r="H72" s="17" t="n">
        <v>90</v>
      </c>
      <c r="I72" s="17" t="n">
        <v>0</v>
      </c>
      <c r="J72" s="17" t="inlineStr">
        <is>
          <t>No Purchase</t>
        </is>
      </c>
      <c r="K72" s="17" t="inlineStr">
        <is>
          <t>Exited Early</t>
        </is>
      </c>
      <c r="L72" s="17" t="inlineStr">
        <is>
          <t>Free</t>
        </is>
      </c>
      <c r="M72" s="17" t="n">
        <v>3</v>
      </c>
      <c r="N72" s="17" t="inlineStr">
        <is>
          <t>No</t>
        </is>
      </c>
      <c r="O72" s="17">
        <f>TEXT(G72,"yyyy-mm")</f>
        <v/>
      </c>
      <c r="P72" s="17">
        <f>IF(H72&lt;20,"Low",IF(H72&lt;=60,"Medium","High"))</f>
        <v/>
      </c>
      <c r="Q72" s="17">
        <f>IF(I72&gt;0,"Yes","No")</f>
        <v/>
      </c>
      <c r="R72" s="17">
        <f>IF(N72="Yes",1,0)</f>
        <v/>
      </c>
      <c r="S72" s="17">
        <f>IF(N72=IF(OR(H72&gt;150,I72&gt;40),"Yes","No"),"Match","Mismatch")</f>
        <v/>
      </c>
    </row>
    <row r="73">
      <c r="A73" s="17" t="inlineStr">
        <is>
          <t>S00016</t>
        </is>
      </c>
      <c r="B73" s="17" t="inlineStr">
        <is>
          <t>P9796</t>
        </is>
      </c>
      <c r="C73" s="17" t="inlineStr">
        <is>
          <t>raynatalie</t>
        </is>
      </c>
      <c r="D73" s="17" t="inlineStr">
        <is>
          <t>BattleZone</t>
        </is>
      </c>
      <c r="E73" s="17" t="inlineStr">
        <is>
          <t>Mobile</t>
        </is>
      </c>
      <c r="F73" s="17" t="inlineStr">
        <is>
          <t>East</t>
        </is>
      </c>
      <c r="G73" s="18" t="n">
        <v>45664</v>
      </c>
      <c r="H73" s="17" t="n">
        <v>163</v>
      </c>
      <c r="I73" s="17" t="n">
        <v>0</v>
      </c>
      <c r="J73" s="17" t="inlineStr">
        <is>
          <t>No Purchase</t>
        </is>
      </c>
      <c r="K73" s="17" t="inlineStr">
        <is>
          <t>Completed</t>
        </is>
      </c>
      <c r="L73" s="17" t="inlineStr">
        <is>
          <t>Free</t>
        </is>
      </c>
      <c r="M73" s="17" t="n">
        <v>50</v>
      </c>
      <c r="N73" s="17" t="inlineStr">
        <is>
          <t>Yes</t>
        </is>
      </c>
      <c r="O73" s="17">
        <f>TEXT(G73,"yyyy-mm")</f>
        <v/>
      </c>
      <c r="P73" s="17">
        <f>IF(H73&lt;20,"Low",IF(H73&lt;=60,"Medium","High"))</f>
        <v/>
      </c>
      <c r="Q73" s="17">
        <f>IF(I73&gt;0,"Yes","No")</f>
        <v/>
      </c>
      <c r="R73" s="17">
        <f>IF(N73="Yes",1,0)</f>
        <v/>
      </c>
      <c r="S73" s="17">
        <f>IF(N73=IF(OR(H73&gt;150,I73&gt;40),"Yes","No"),"Match","Mismatch")</f>
        <v/>
      </c>
    </row>
    <row r="74">
      <c r="A74" s="17" t="inlineStr">
        <is>
          <t>S00286</t>
        </is>
      </c>
      <c r="B74" s="17" t="inlineStr">
        <is>
          <t>P1653</t>
        </is>
      </c>
      <c r="C74" s="17" t="inlineStr">
        <is>
          <t>jeffreybaker</t>
        </is>
      </c>
      <c r="D74" s="17" t="inlineStr">
        <is>
          <t>Clash of Realms</t>
        </is>
      </c>
      <c r="E74" s="17" t="inlineStr">
        <is>
          <t>PC</t>
        </is>
      </c>
      <c r="F74" s="17" t="inlineStr">
        <is>
          <t>North-East</t>
        </is>
      </c>
      <c r="G74" s="18" t="n">
        <v>45664</v>
      </c>
      <c r="H74" s="17" t="n">
        <v>16</v>
      </c>
      <c r="I74" s="17" t="n">
        <v>0</v>
      </c>
      <c r="J74" s="17" t="inlineStr">
        <is>
          <t>No Purchase</t>
        </is>
      </c>
      <c r="K74" s="17" t="inlineStr">
        <is>
          <t>Crashed</t>
        </is>
      </c>
      <c r="L74" s="17" t="inlineStr">
        <is>
          <t>Free</t>
        </is>
      </c>
      <c r="M74" s="17" t="n">
        <v>6</v>
      </c>
      <c r="N74" s="17" t="inlineStr">
        <is>
          <t>No</t>
        </is>
      </c>
      <c r="O74" s="17">
        <f>TEXT(G74,"yyyy-mm")</f>
        <v/>
      </c>
      <c r="P74" s="17">
        <f>IF(H74&lt;20,"Low",IF(H74&lt;=60,"Medium","High"))</f>
        <v/>
      </c>
      <c r="Q74" s="17">
        <f>IF(I74&gt;0,"Yes","No")</f>
        <v/>
      </c>
      <c r="R74" s="17">
        <f>IF(N74="Yes",1,0)</f>
        <v/>
      </c>
      <c r="S74" s="17">
        <f>IF(N74=IF(OR(H74&gt;150,I74&gt;40),"Yes","No"),"Match","Mismatch")</f>
        <v/>
      </c>
    </row>
    <row r="75">
      <c r="A75" s="17" t="inlineStr">
        <is>
          <t>S00074</t>
        </is>
      </c>
      <c r="B75" s="17" t="inlineStr">
        <is>
          <t>P8845</t>
        </is>
      </c>
      <c r="C75" s="17" t="inlineStr">
        <is>
          <t>connerkevin</t>
        </is>
      </c>
      <c r="D75" s="17" t="inlineStr">
        <is>
          <t>BattleZone</t>
        </is>
      </c>
      <c r="E75" s="17" t="inlineStr">
        <is>
          <t>Console</t>
        </is>
      </c>
      <c r="F75" s="17" t="inlineStr">
        <is>
          <t>North</t>
        </is>
      </c>
      <c r="G75" s="18" t="n">
        <v>45665</v>
      </c>
      <c r="H75" s="17" t="n">
        <v>147</v>
      </c>
      <c r="I75" s="17" t="n">
        <v>0</v>
      </c>
      <c r="J75" s="17" t="inlineStr">
        <is>
          <t>No Purchase</t>
        </is>
      </c>
      <c r="K75" s="17" t="inlineStr">
        <is>
          <t>Completed</t>
        </is>
      </c>
      <c r="L75" s="17" t="inlineStr">
        <is>
          <t>Free</t>
        </is>
      </c>
      <c r="M75" s="17" t="n">
        <v>14</v>
      </c>
      <c r="N75" s="17" t="inlineStr">
        <is>
          <t>No</t>
        </is>
      </c>
      <c r="O75" s="17">
        <f>TEXT(G75,"yyyy-mm")</f>
        <v/>
      </c>
      <c r="P75" s="17">
        <f>IF(H75&lt;20,"Low",IF(H75&lt;=60,"Medium","High"))</f>
        <v/>
      </c>
      <c r="Q75" s="17">
        <f>IF(I75&gt;0,"Yes","No")</f>
        <v/>
      </c>
      <c r="R75" s="17">
        <f>IF(N75="Yes",1,0)</f>
        <v/>
      </c>
      <c r="S75" s="17">
        <f>IF(N75=IF(OR(H75&gt;150,I75&gt;40),"Yes","No"),"Match","Mismatch")</f>
        <v/>
      </c>
    </row>
    <row r="76">
      <c r="A76" s="17" t="inlineStr">
        <is>
          <t>S00335</t>
        </is>
      </c>
      <c r="B76" s="17" t="inlineStr">
        <is>
          <t>P5228</t>
        </is>
      </c>
      <c r="C76" s="17" t="inlineStr">
        <is>
          <t>melissa44</t>
        </is>
      </c>
      <c r="D76" s="17" t="inlineStr">
        <is>
          <t>Empire Wars</t>
        </is>
      </c>
      <c r="E76" s="17" t="inlineStr">
        <is>
          <t>PC</t>
        </is>
      </c>
      <c r="F76" s="17" t="inlineStr">
        <is>
          <t>East</t>
        </is>
      </c>
      <c r="G76" s="18" t="n">
        <v>45665</v>
      </c>
      <c r="H76" s="17" t="n">
        <v>159</v>
      </c>
      <c r="I76" s="17" t="n">
        <v>0</v>
      </c>
      <c r="J76" s="17" t="inlineStr">
        <is>
          <t>No Purchase</t>
        </is>
      </c>
      <c r="K76" s="17" t="inlineStr">
        <is>
          <t>Completed</t>
        </is>
      </c>
      <c r="L76" s="17" t="inlineStr">
        <is>
          <t>Free</t>
        </is>
      </c>
      <c r="M76" s="17" t="n">
        <v>20</v>
      </c>
      <c r="N76" s="17" t="inlineStr">
        <is>
          <t>Yes</t>
        </is>
      </c>
      <c r="O76" s="17">
        <f>TEXT(G76,"yyyy-mm")</f>
        <v/>
      </c>
      <c r="P76" s="17">
        <f>IF(H76&lt;20,"Low",IF(H76&lt;=60,"Medium","High"))</f>
        <v/>
      </c>
      <c r="Q76" s="17">
        <f>IF(I76&gt;0,"Yes","No")</f>
        <v/>
      </c>
      <c r="R76" s="17">
        <f>IF(N76="Yes",1,0)</f>
        <v/>
      </c>
      <c r="S76" s="17">
        <f>IF(N76=IF(OR(H76&gt;150,I76&gt;40),"Yes","No"),"Match","Mismatch")</f>
        <v/>
      </c>
    </row>
    <row r="77">
      <c r="A77" s="17" t="inlineStr">
        <is>
          <t>S00469</t>
        </is>
      </c>
      <c r="B77" s="17" t="inlineStr">
        <is>
          <t>P2925</t>
        </is>
      </c>
      <c r="C77" s="17" t="inlineStr">
        <is>
          <t>kgonzalez</t>
        </is>
      </c>
      <c r="D77" s="17" t="inlineStr">
        <is>
          <t>Clash of Realms</t>
        </is>
      </c>
      <c r="E77" s="17" t="inlineStr">
        <is>
          <t>Mobile</t>
        </is>
      </c>
      <c r="F77" s="17" t="inlineStr">
        <is>
          <t>East</t>
        </is>
      </c>
      <c r="G77" s="18" t="n">
        <v>45665</v>
      </c>
      <c r="H77" s="17" t="n">
        <v>166</v>
      </c>
      <c r="I77" s="17" t="n">
        <v>23.59</v>
      </c>
      <c r="J77" s="17" t="inlineStr">
        <is>
          <t>Battle Pass</t>
        </is>
      </c>
      <c r="K77" s="17" t="inlineStr">
        <is>
          <t>Completed</t>
        </is>
      </c>
      <c r="L77" s="17" t="inlineStr">
        <is>
          <t>Paid</t>
        </is>
      </c>
      <c r="M77" s="17" t="n">
        <v>19</v>
      </c>
      <c r="N77" s="17" t="inlineStr">
        <is>
          <t>Yes</t>
        </is>
      </c>
      <c r="O77" s="17">
        <f>TEXT(G77,"yyyy-mm")</f>
        <v/>
      </c>
      <c r="P77" s="17">
        <f>IF(H77&lt;20,"Low",IF(H77&lt;=60,"Medium","High"))</f>
        <v/>
      </c>
      <c r="Q77" s="17">
        <f>IF(I77&gt;0,"Yes","No")</f>
        <v/>
      </c>
      <c r="R77" s="17">
        <f>IF(N77="Yes",1,0)</f>
        <v/>
      </c>
      <c r="S77" s="17">
        <f>IF(N77=IF(OR(H77&gt;150,I77&gt;40),"Yes","No"),"Match","Mismatch")</f>
        <v/>
      </c>
    </row>
    <row r="78">
      <c r="A78" s="17" t="inlineStr">
        <is>
          <t>S00458</t>
        </is>
      </c>
      <c r="B78" s="17" t="inlineStr">
        <is>
          <t>P8552</t>
        </is>
      </c>
      <c r="C78" s="17" t="inlineStr">
        <is>
          <t>jbriggs</t>
        </is>
      </c>
      <c r="D78" s="17" t="inlineStr">
        <is>
          <t>Clash of Realms</t>
        </is>
      </c>
      <c r="E78" s="17" t="inlineStr">
        <is>
          <t>Console</t>
        </is>
      </c>
      <c r="F78" s="17" t="inlineStr">
        <is>
          <t>South</t>
        </is>
      </c>
      <c r="G78" s="18" t="n">
        <v>45666</v>
      </c>
      <c r="H78" s="17" t="n">
        <v>92</v>
      </c>
      <c r="I78" s="17" t="n">
        <v>0</v>
      </c>
      <c r="J78" s="17" t="inlineStr">
        <is>
          <t>No Purchase</t>
        </is>
      </c>
      <c r="K78" s="17" t="inlineStr">
        <is>
          <t>Completed</t>
        </is>
      </c>
      <c r="L78" s="17" t="inlineStr">
        <is>
          <t>Free</t>
        </is>
      </c>
      <c r="M78" s="17" t="n">
        <v>33</v>
      </c>
      <c r="N78" s="17" t="inlineStr">
        <is>
          <t>No</t>
        </is>
      </c>
      <c r="O78" s="17">
        <f>TEXT(G78,"yyyy-mm")</f>
        <v/>
      </c>
      <c r="P78" s="17">
        <f>IF(H78&lt;20,"Low",IF(H78&lt;=60,"Medium","High"))</f>
        <v/>
      </c>
      <c r="Q78" s="17">
        <f>IF(I78&gt;0,"Yes","No")</f>
        <v/>
      </c>
      <c r="R78" s="17">
        <f>IF(N78="Yes",1,0)</f>
        <v/>
      </c>
      <c r="S78" s="17">
        <f>IF(N78=IF(OR(H78&gt;150,I78&gt;40),"Yes","No"),"Match","Mismatch")</f>
        <v/>
      </c>
    </row>
    <row r="79">
      <c r="A79" s="17" t="inlineStr">
        <is>
          <t>S00008</t>
        </is>
      </c>
      <c r="B79" s="17" t="inlineStr">
        <is>
          <t>P5965</t>
        </is>
      </c>
      <c r="C79" s="17" t="inlineStr">
        <is>
          <t>lhansen</t>
        </is>
      </c>
      <c r="D79" s="17" t="inlineStr">
        <is>
          <t>BattleZone</t>
        </is>
      </c>
      <c r="E79" s="17" t="inlineStr">
        <is>
          <t>PC</t>
        </is>
      </c>
      <c r="F79" s="17" t="inlineStr">
        <is>
          <t>South</t>
        </is>
      </c>
      <c r="G79" s="18" t="n">
        <v>45666</v>
      </c>
      <c r="H79" s="17" t="n">
        <v>38</v>
      </c>
      <c r="I79" s="17" t="n">
        <v>0</v>
      </c>
      <c r="J79" s="17" t="inlineStr">
        <is>
          <t>No Purchase</t>
        </is>
      </c>
      <c r="K79" s="17" t="inlineStr">
        <is>
          <t>Exited Early</t>
        </is>
      </c>
      <c r="L79" s="17" t="inlineStr">
        <is>
          <t>Free</t>
        </is>
      </c>
      <c r="M79" s="17" t="n">
        <v>14</v>
      </c>
      <c r="N79" s="17" t="inlineStr">
        <is>
          <t>No</t>
        </is>
      </c>
      <c r="O79" s="17">
        <f>TEXT(G79,"yyyy-mm")</f>
        <v/>
      </c>
      <c r="P79" s="17">
        <f>IF(H79&lt;20,"Low",IF(H79&lt;=60,"Medium","High"))</f>
        <v/>
      </c>
      <c r="Q79" s="17">
        <f>IF(I79&gt;0,"Yes","No")</f>
        <v/>
      </c>
      <c r="R79" s="17">
        <f>IF(N79="Yes",1,0)</f>
        <v/>
      </c>
      <c r="S79" s="17">
        <f>IF(N79=IF(OR(H79&gt;150,I79&gt;40),"Yes","No"),"Match","Mismatch")</f>
        <v/>
      </c>
    </row>
    <row r="80">
      <c r="A80" s="17" t="inlineStr">
        <is>
          <t>S00309</t>
        </is>
      </c>
      <c r="B80" s="17" t="inlineStr">
        <is>
          <t>P8611</t>
        </is>
      </c>
      <c r="C80" s="17" t="inlineStr">
        <is>
          <t>cheyennebenton</t>
        </is>
      </c>
      <c r="D80" s="17" t="inlineStr">
        <is>
          <t>BattleZone</t>
        </is>
      </c>
      <c r="E80" s="17" t="inlineStr">
        <is>
          <t>Mobile</t>
        </is>
      </c>
      <c r="F80" s="17" t="inlineStr">
        <is>
          <t>North-East</t>
        </is>
      </c>
      <c r="G80" s="18" t="n">
        <v>45666</v>
      </c>
      <c r="H80" s="17" t="n">
        <v>34</v>
      </c>
      <c r="I80" s="17" t="n">
        <v>0</v>
      </c>
      <c r="J80" s="17" t="inlineStr">
        <is>
          <t>No Purchase</t>
        </is>
      </c>
      <c r="K80" s="17" t="inlineStr">
        <is>
          <t>Completed</t>
        </is>
      </c>
      <c r="L80" s="17" t="inlineStr">
        <is>
          <t>Free</t>
        </is>
      </c>
      <c r="M80" s="17" t="n">
        <v>12</v>
      </c>
      <c r="N80" s="17" t="inlineStr">
        <is>
          <t>No</t>
        </is>
      </c>
      <c r="O80" s="17">
        <f>TEXT(G80,"yyyy-mm")</f>
        <v/>
      </c>
      <c r="P80" s="17">
        <f>IF(H80&lt;20,"Low",IF(H80&lt;=60,"Medium","High"))</f>
        <v/>
      </c>
      <c r="Q80" s="17">
        <f>IF(I80&gt;0,"Yes","No")</f>
        <v/>
      </c>
      <c r="R80" s="17">
        <f>IF(N80="Yes",1,0)</f>
        <v/>
      </c>
      <c r="S80" s="17">
        <f>IF(N80=IF(OR(H80&gt;150,I80&gt;40),"Yes","No"),"Match","Mismatch")</f>
        <v/>
      </c>
    </row>
    <row r="81">
      <c r="A81" s="17" t="inlineStr">
        <is>
          <t>S00151</t>
        </is>
      </c>
      <c r="B81" s="17" t="inlineStr">
        <is>
          <t>P5644</t>
        </is>
      </c>
      <c r="C81" s="17" t="inlineStr">
        <is>
          <t>harrispamela</t>
        </is>
      </c>
      <c r="D81" s="17" t="inlineStr">
        <is>
          <t>Empire Wars</t>
        </is>
      </c>
      <c r="E81" s="17" t="inlineStr">
        <is>
          <t>PC</t>
        </is>
      </c>
      <c r="F81" s="17" t="inlineStr">
        <is>
          <t>North</t>
        </is>
      </c>
      <c r="G81" s="18" t="n">
        <v>45666</v>
      </c>
      <c r="H81" s="17" t="n">
        <v>169</v>
      </c>
      <c r="I81" s="17" t="n">
        <v>0</v>
      </c>
      <c r="J81" s="17" t="inlineStr">
        <is>
          <t>No Purchase</t>
        </is>
      </c>
      <c r="K81" s="17" t="inlineStr">
        <is>
          <t>Completed</t>
        </is>
      </c>
      <c r="L81" s="17" t="inlineStr">
        <is>
          <t>Free</t>
        </is>
      </c>
      <c r="M81" s="17" t="n">
        <v>30</v>
      </c>
      <c r="N81" s="17" t="inlineStr">
        <is>
          <t>Yes</t>
        </is>
      </c>
      <c r="O81" s="17">
        <f>TEXT(G81,"yyyy-mm")</f>
        <v/>
      </c>
      <c r="P81" s="17">
        <f>IF(H81&lt;20,"Low",IF(H81&lt;=60,"Medium","High"))</f>
        <v/>
      </c>
      <c r="Q81" s="17">
        <f>IF(I81&gt;0,"Yes","No")</f>
        <v/>
      </c>
      <c r="R81" s="17">
        <f>IF(N81="Yes",1,0)</f>
        <v/>
      </c>
      <c r="S81" s="17">
        <f>IF(N81=IF(OR(H81&gt;150,I81&gt;40),"Yes","No"),"Match","Mismatch")</f>
        <v/>
      </c>
    </row>
    <row r="82">
      <c r="A82" s="17" t="inlineStr">
        <is>
          <t>S00317</t>
        </is>
      </c>
      <c r="B82" s="17" t="inlineStr">
        <is>
          <t>P2939</t>
        </is>
      </c>
      <c r="C82" s="17" t="inlineStr">
        <is>
          <t>millersarah</t>
        </is>
      </c>
      <c r="D82" s="17" t="inlineStr">
        <is>
          <t>SpeedX</t>
        </is>
      </c>
      <c r="E82" s="17" t="inlineStr">
        <is>
          <t>PC</t>
        </is>
      </c>
      <c r="F82" s="17" t="inlineStr">
        <is>
          <t>South</t>
        </is>
      </c>
      <c r="G82" s="18" t="n">
        <v>45666</v>
      </c>
      <c r="H82" s="17" t="n">
        <v>73</v>
      </c>
      <c r="I82" s="17" t="n">
        <v>0</v>
      </c>
      <c r="J82" s="17" t="inlineStr">
        <is>
          <t>No Purchase</t>
        </is>
      </c>
      <c r="K82" s="17" t="inlineStr">
        <is>
          <t>Incomplete</t>
        </is>
      </c>
      <c r="L82" s="17" t="inlineStr">
        <is>
          <t>Free</t>
        </is>
      </c>
      <c r="M82" s="17" t="n">
        <v>15</v>
      </c>
      <c r="N82" s="17" t="inlineStr">
        <is>
          <t>No</t>
        </is>
      </c>
      <c r="O82" s="17">
        <f>TEXT(G82,"yyyy-mm")</f>
        <v/>
      </c>
      <c r="P82" s="17">
        <f>IF(H82&lt;20,"Low",IF(H82&lt;=60,"Medium","High"))</f>
        <v/>
      </c>
      <c r="Q82" s="17">
        <f>IF(I82&gt;0,"Yes","No")</f>
        <v/>
      </c>
      <c r="R82" s="17">
        <f>IF(N82="Yes",1,0)</f>
        <v/>
      </c>
      <c r="S82" s="17">
        <f>IF(N82=IF(OR(H82&gt;150,I82&gt;40),"Yes","No"),"Match","Mismatch")</f>
        <v/>
      </c>
    </row>
    <row r="83">
      <c r="A83" s="17" t="inlineStr">
        <is>
          <t>S00124</t>
        </is>
      </c>
      <c r="B83" s="17" t="inlineStr">
        <is>
          <t>P9571</t>
        </is>
      </c>
      <c r="C83" s="17" t="inlineStr">
        <is>
          <t>haroldsawyer</t>
        </is>
      </c>
      <c r="D83" s="17" t="inlineStr">
        <is>
          <t>Empire Wars</t>
        </is>
      </c>
      <c r="E83" s="17" t="inlineStr">
        <is>
          <t>PC</t>
        </is>
      </c>
      <c r="F83" s="17" t="inlineStr">
        <is>
          <t>South</t>
        </is>
      </c>
      <c r="G83" s="18" t="n">
        <v>45667</v>
      </c>
      <c r="H83" s="17" t="n">
        <v>123</v>
      </c>
      <c r="I83" s="17" t="n">
        <v>0</v>
      </c>
      <c r="J83" s="17" t="inlineStr">
        <is>
          <t>No Purchase</t>
        </is>
      </c>
      <c r="K83" s="17" t="inlineStr">
        <is>
          <t>Crashed</t>
        </is>
      </c>
      <c r="L83" s="17" t="inlineStr">
        <is>
          <t>Free</t>
        </is>
      </c>
      <c r="M83" s="17" t="n">
        <v>12</v>
      </c>
      <c r="N83" s="17" t="inlineStr">
        <is>
          <t>No</t>
        </is>
      </c>
      <c r="O83" s="17">
        <f>TEXT(G83,"yyyy-mm")</f>
        <v/>
      </c>
      <c r="P83" s="17">
        <f>IF(H83&lt;20,"Low",IF(H83&lt;=60,"Medium","High"))</f>
        <v/>
      </c>
      <c r="Q83" s="17">
        <f>IF(I83&gt;0,"Yes","No")</f>
        <v/>
      </c>
      <c r="R83" s="17">
        <f>IF(N83="Yes",1,0)</f>
        <v/>
      </c>
      <c r="S83" s="17">
        <f>IF(N83=IF(OR(H83&gt;150,I83&gt;40),"Yes","No"),"Match","Mismatch")</f>
        <v/>
      </c>
    </row>
    <row r="84">
      <c r="A84" s="17" t="inlineStr">
        <is>
          <t>S00409</t>
        </is>
      </c>
      <c r="B84" s="17" t="inlineStr">
        <is>
          <t>P2227</t>
        </is>
      </c>
      <c r="C84" s="17" t="inlineStr">
        <is>
          <t>thomascorey</t>
        </is>
      </c>
      <c r="D84" s="17" t="inlineStr">
        <is>
          <t>SpeedX</t>
        </is>
      </c>
      <c r="E84" s="17" t="inlineStr">
        <is>
          <t>Mobile</t>
        </is>
      </c>
      <c r="F84" s="17" t="inlineStr">
        <is>
          <t>West</t>
        </is>
      </c>
      <c r="G84" s="18" t="n">
        <v>45667</v>
      </c>
      <c r="H84" s="17" t="n">
        <v>22</v>
      </c>
      <c r="I84" s="17" t="n">
        <v>17.35</v>
      </c>
      <c r="J84" s="17" t="inlineStr">
        <is>
          <t>Battle Pass</t>
        </is>
      </c>
      <c r="K84" s="17" t="inlineStr">
        <is>
          <t>Crashed</t>
        </is>
      </c>
      <c r="L84" s="17" t="inlineStr">
        <is>
          <t>Paid</t>
        </is>
      </c>
      <c r="M84" s="17" t="n">
        <v>49</v>
      </c>
      <c r="N84" s="17" t="inlineStr">
        <is>
          <t>No</t>
        </is>
      </c>
      <c r="O84" s="17">
        <f>TEXT(G84,"yyyy-mm")</f>
        <v/>
      </c>
      <c r="P84" s="17">
        <f>IF(H84&lt;20,"Low",IF(H84&lt;=60,"Medium","High"))</f>
        <v/>
      </c>
      <c r="Q84" s="17">
        <f>IF(I84&gt;0,"Yes","No")</f>
        <v/>
      </c>
      <c r="R84" s="17">
        <f>IF(N84="Yes",1,0)</f>
        <v/>
      </c>
      <c r="S84" s="17">
        <f>IF(N84=IF(OR(H84&gt;150,I84&gt;40),"Yes","No"),"Match","Mismatch")</f>
        <v/>
      </c>
    </row>
    <row r="85">
      <c r="A85" s="17" t="inlineStr">
        <is>
          <t>S00439</t>
        </is>
      </c>
      <c r="B85" s="17" t="inlineStr">
        <is>
          <t>P4812</t>
        </is>
      </c>
      <c r="C85" s="17" t="inlineStr">
        <is>
          <t>thomas99</t>
        </is>
      </c>
      <c r="D85" s="17" t="inlineStr">
        <is>
          <t>Zombie Rush</t>
        </is>
      </c>
      <c r="E85" s="17" t="inlineStr">
        <is>
          <t>Mobile</t>
        </is>
      </c>
      <c r="F85" s="17" t="inlineStr">
        <is>
          <t>North</t>
        </is>
      </c>
      <c r="G85" s="18" t="n">
        <v>45667</v>
      </c>
      <c r="H85" s="17" t="n">
        <v>46</v>
      </c>
      <c r="I85" s="17" t="n">
        <v>0</v>
      </c>
      <c r="J85" s="17" t="inlineStr">
        <is>
          <t>No Purchase</t>
        </is>
      </c>
      <c r="K85" s="17" t="inlineStr">
        <is>
          <t>Completed</t>
        </is>
      </c>
      <c r="L85" s="17" t="inlineStr">
        <is>
          <t>Free</t>
        </is>
      </c>
      <c r="M85" s="17" t="n">
        <v>4</v>
      </c>
      <c r="N85" s="17" t="inlineStr">
        <is>
          <t>No</t>
        </is>
      </c>
      <c r="O85" s="17">
        <f>TEXT(G85,"yyyy-mm")</f>
        <v/>
      </c>
      <c r="P85" s="17">
        <f>IF(H85&lt;20,"Low",IF(H85&lt;=60,"Medium","High"))</f>
        <v/>
      </c>
      <c r="Q85" s="17">
        <f>IF(I85&gt;0,"Yes","No")</f>
        <v/>
      </c>
      <c r="R85" s="17">
        <f>IF(N85="Yes",1,0)</f>
        <v/>
      </c>
      <c r="S85" s="17">
        <f>IF(N85=IF(OR(H85&gt;150,I85&gt;40),"Yes","No"),"Match","Mismatch")</f>
        <v/>
      </c>
    </row>
    <row r="86">
      <c r="A86" s="17" t="inlineStr">
        <is>
          <t>S00103</t>
        </is>
      </c>
      <c r="B86" s="17" t="inlineStr">
        <is>
          <t>P5013</t>
        </is>
      </c>
      <c r="C86" s="17" t="inlineStr">
        <is>
          <t>angelabutler</t>
        </is>
      </c>
      <c r="D86" s="17" t="inlineStr">
        <is>
          <t>Empire Wars</t>
        </is>
      </c>
      <c r="E86" s="17" t="inlineStr">
        <is>
          <t>Mobile</t>
        </is>
      </c>
      <c r="F86" s="17" t="inlineStr">
        <is>
          <t>North-East</t>
        </is>
      </c>
      <c r="G86" s="18" t="n">
        <v>45668</v>
      </c>
      <c r="H86" s="17" t="n">
        <v>41</v>
      </c>
      <c r="I86" s="17" t="n">
        <v>0</v>
      </c>
      <c r="J86" s="17" t="inlineStr">
        <is>
          <t>No Purchase</t>
        </is>
      </c>
      <c r="K86" s="17" t="inlineStr">
        <is>
          <t>Exited Early</t>
        </is>
      </c>
      <c r="L86" s="17" t="inlineStr">
        <is>
          <t>Free</t>
        </is>
      </c>
      <c r="M86" s="17" t="n">
        <v>47</v>
      </c>
      <c r="N86" s="17" t="inlineStr">
        <is>
          <t>No</t>
        </is>
      </c>
      <c r="O86" s="17">
        <f>TEXT(G86,"yyyy-mm")</f>
        <v/>
      </c>
      <c r="P86" s="17">
        <f>IF(H86&lt;20,"Low",IF(H86&lt;=60,"Medium","High"))</f>
        <v/>
      </c>
      <c r="Q86" s="17">
        <f>IF(I86&gt;0,"Yes","No")</f>
        <v/>
      </c>
      <c r="R86" s="17">
        <f>IF(N86="Yes",1,0)</f>
        <v/>
      </c>
      <c r="S86" s="17">
        <f>IF(N86=IF(OR(H86&gt;150,I86&gt;40),"Yes","No"),"Match","Mismatch")</f>
        <v/>
      </c>
    </row>
    <row r="87">
      <c r="A87" s="17" t="inlineStr">
        <is>
          <t>S00341</t>
        </is>
      </c>
      <c r="B87" s="17" t="inlineStr">
        <is>
          <t>P7017</t>
        </is>
      </c>
      <c r="C87" s="17" t="inlineStr">
        <is>
          <t>smartin</t>
        </is>
      </c>
      <c r="D87" s="17" t="inlineStr">
        <is>
          <t>SpeedX</t>
        </is>
      </c>
      <c r="E87" s="17" t="inlineStr">
        <is>
          <t>PC</t>
        </is>
      </c>
      <c r="F87" s="17" t="inlineStr">
        <is>
          <t>Central</t>
        </is>
      </c>
      <c r="G87" s="18" t="n">
        <v>45668</v>
      </c>
      <c r="H87" s="17" t="n">
        <v>24</v>
      </c>
      <c r="I87" s="17" t="n">
        <v>0</v>
      </c>
      <c r="J87" s="17" t="inlineStr">
        <is>
          <t>No Purchase</t>
        </is>
      </c>
      <c r="K87" s="17" t="inlineStr">
        <is>
          <t>Completed</t>
        </is>
      </c>
      <c r="L87" s="17" t="inlineStr">
        <is>
          <t>Free</t>
        </is>
      </c>
      <c r="M87" s="17" t="n">
        <v>41</v>
      </c>
      <c r="N87" s="17" t="inlineStr">
        <is>
          <t>No</t>
        </is>
      </c>
      <c r="O87" s="17">
        <f>TEXT(G87,"yyyy-mm")</f>
        <v/>
      </c>
      <c r="P87" s="17">
        <f>IF(H87&lt;20,"Low",IF(H87&lt;=60,"Medium","High"))</f>
        <v/>
      </c>
      <c r="Q87" s="17">
        <f>IF(I87&gt;0,"Yes","No")</f>
        <v/>
      </c>
      <c r="R87" s="17">
        <f>IF(N87="Yes",1,0)</f>
        <v/>
      </c>
      <c r="S87" s="17">
        <f>IF(N87=IF(OR(H87&gt;150,I87&gt;40),"Yes","No"),"Match","Mismatch")</f>
        <v/>
      </c>
    </row>
    <row r="88">
      <c r="A88" s="17" t="inlineStr">
        <is>
          <t>S00426</t>
        </is>
      </c>
      <c r="B88" s="17" t="inlineStr">
        <is>
          <t>P8176</t>
        </is>
      </c>
      <c r="C88" s="17" t="inlineStr">
        <is>
          <t>enielsen</t>
        </is>
      </c>
      <c r="D88" s="17" t="inlineStr">
        <is>
          <t>BattleZone</t>
        </is>
      </c>
      <c r="E88" s="17" t="inlineStr">
        <is>
          <t>Mobile</t>
        </is>
      </c>
      <c r="F88" s="17" t="inlineStr">
        <is>
          <t>North</t>
        </is>
      </c>
      <c r="G88" s="18" t="n">
        <v>45669</v>
      </c>
      <c r="H88" s="17" t="n">
        <v>79</v>
      </c>
      <c r="I88" s="17" t="n">
        <v>0</v>
      </c>
      <c r="J88" s="17" t="inlineStr">
        <is>
          <t>No Purchase</t>
        </is>
      </c>
      <c r="K88" s="17" t="inlineStr">
        <is>
          <t>Completed</t>
        </is>
      </c>
      <c r="L88" s="17" t="inlineStr">
        <is>
          <t>Free</t>
        </is>
      </c>
      <c r="M88" s="17" t="n">
        <v>30</v>
      </c>
      <c r="N88" s="17" t="inlineStr">
        <is>
          <t>No</t>
        </is>
      </c>
      <c r="O88" s="17">
        <f>TEXT(G88,"yyyy-mm")</f>
        <v/>
      </c>
      <c r="P88" s="17">
        <f>IF(H88&lt;20,"Low",IF(H88&lt;=60,"Medium","High"))</f>
        <v/>
      </c>
      <c r="Q88" s="17">
        <f>IF(I88&gt;0,"Yes","No")</f>
        <v/>
      </c>
      <c r="R88" s="17">
        <f>IF(N88="Yes",1,0)</f>
        <v/>
      </c>
      <c r="S88" s="17">
        <f>IF(N88=IF(OR(H88&gt;150,I88&gt;40),"Yes","No"),"Match","Mismatch")</f>
        <v/>
      </c>
    </row>
    <row r="89">
      <c r="A89" s="17" t="inlineStr">
        <is>
          <t>S00295</t>
        </is>
      </c>
      <c r="B89" s="17" t="inlineStr">
        <is>
          <t>P8996</t>
        </is>
      </c>
      <c r="C89" s="17" t="inlineStr">
        <is>
          <t>sbrown</t>
        </is>
      </c>
      <c r="D89" s="17" t="inlineStr">
        <is>
          <t>Empire Wars</t>
        </is>
      </c>
      <c r="E89" s="17" t="inlineStr">
        <is>
          <t>Mobile</t>
        </is>
      </c>
      <c r="F89" s="17" t="inlineStr">
        <is>
          <t>Central</t>
        </is>
      </c>
      <c r="G89" s="18" t="n">
        <v>45669</v>
      </c>
      <c r="H89" s="17" t="n">
        <v>61</v>
      </c>
      <c r="I89" s="17" t="n">
        <v>0</v>
      </c>
      <c r="J89" s="17" t="inlineStr">
        <is>
          <t>No Purchase</t>
        </is>
      </c>
      <c r="K89" s="17" t="inlineStr">
        <is>
          <t>Completed</t>
        </is>
      </c>
      <c r="L89" s="17" t="inlineStr">
        <is>
          <t>Free</t>
        </is>
      </c>
      <c r="M89" s="17" t="n">
        <v>30</v>
      </c>
      <c r="N89" s="17" t="inlineStr">
        <is>
          <t>No</t>
        </is>
      </c>
      <c r="O89" s="17">
        <f>TEXT(G89,"yyyy-mm")</f>
        <v/>
      </c>
      <c r="P89" s="17">
        <f>IF(H89&lt;20,"Low",IF(H89&lt;=60,"Medium","High"))</f>
        <v/>
      </c>
      <c r="Q89" s="17">
        <f>IF(I89&gt;0,"Yes","No")</f>
        <v/>
      </c>
      <c r="R89" s="17">
        <f>IF(N89="Yes",1,0)</f>
        <v/>
      </c>
      <c r="S89" s="17">
        <f>IF(N89=IF(OR(H89&gt;150,I89&gt;40),"Yes","No"),"Match","Mismatch")</f>
        <v/>
      </c>
    </row>
    <row r="90">
      <c r="A90" s="17" t="inlineStr">
        <is>
          <t>S00455</t>
        </is>
      </c>
      <c r="B90" s="17" t="inlineStr">
        <is>
          <t>P4283</t>
        </is>
      </c>
      <c r="C90" s="17" t="inlineStr">
        <is>
          <t>sheiladavis</t>
        </is>
      </c>
      <c r="D90" s="17" t="inlineStr">
        <is>
          <t>Clash of Realms</t>
        </is>
      </c>
      <c r="E90" s="17" t="inlineStr">
        <is>
          <t>PC</t>
        </is>
      </c>
      <c r="F90" s="17" t="inlineStr">
        <is>
          <t>Central</t>
        </is>
      </c>
      <c r="G90" s="18" t="n">
        <v>45669</v>
      </c>
      <c r="H90" s="17" t="n">
        <v>123</v>
      </c>
      <c r="I90" s="17" t="n">
        <v>22.4</v>
      </c>
      <c r="J90" s="17" t="inlineStr">
        <is>
          <t>Skins</t>
        </is>
      </c>
      <c r="K90" s="17" t="inlineStr">
        <is>
          <t>Completed</t>
        </is>
      </c>
      <c r="L90" s="17" t="inlineStr">
        <is>
          <t>Paid</t>
        </is>
      </c>
      <c r="M90" s="17" t="n">
        <v>33</v>
      </c>
      <c r="N90" s="17" t="inlineStr">
        <is>
          <t>No</t>
        </is>
      </c>
      <c r="O90" s="17">
        <f>TEXT(G90,"yyyy-mm")</f>
        <v/>
      </c>
      <c r="P90" s="17">
        <f>IF(H90&lt;20,"Low",IF(H90&lt;=60,"Medium","High"))</f>
        <v/>
      </c>
      <c r="Q90" s="17">
        <f>IF(I90&gt;0,"Yes","No")</f>
        <v/>
      </c>
      <c r="R90" s="17">
        <f>IF(N90="Yes",1,0)</f>
        <v/>
      </c>
      <c r="S90" s="17">
        <f>IF(N90=IF(OR(H90&gt;150,I90&gt;40),"Yes","No"),"Match","Mismatch")</f>
        <v/>
      </c>
    </row>
    <row r="91">
      <c r="A91" s="17" t="inlineStr">
        <is>
          <t>S00364</t>
        </is>
      </c>
      <c r="B91" s="17" t="inlineStr">
        <is>
          <t>P9065</t>
        </is>
      </c>
      <c r="C91" s="17" t="inlineStr">
        <is>
          <t>andrewtran</t>
        </is>
      </c>
      <c r="D91" s="17" t="inlineStr">
        <is>
          <t>Clash of Realms</t>
        </is>
      </c>
      <c r="E91" s="17" t="inlineStr">
        <is>
          <t>Console</t>
        </is>
      </c>
      <c r="F91" s="17" t="inlineStr">
        <is>
          <t>South</t>
        </is>
      </c>
      <c r="G91" s="18" t="n">
        <v>45669</v>
      </c>
      <c r="H91" s="17" t="n">
        <v>91</v>
      </c>
      <c r="I91" s="17" t="n">
        <v>0</v>
      </c>
      <c r="J91" s="17" t="inlineStr">
        <is>
          <t>No Purchase</t>
        </is>
      </c>
      <c r="K91" s="17" t="inlineStr">
        <is>
          <t>Completed</t>
        </is>
      </c>
      <c r="L91" s="17" t="inlineStr">
        <is>
          <t>Free</t>
        </is>
      </c>
      <c r="M91" s="17" t="n">
        <v>31</v>
      </c>
      <c r="N91" s="17" t="inlineStr">
        <is>
          <t>No</t>
        </is>
      </c>
      <c r="O91" s="17">
        <f>TEXT(G91,"yyyy-mm")</f>
        <v/>
      </c>
      <c r="P91" s="17">
        <f>IF(H91&lt;20,"Low",IF(H91&lt;=60,"Medium","High"))</f>
        <v/>
      </c>
      <c r="Q91" s="17">
        <f>IF(I91&gt;0,"Yes","No")</f>
        <v/>
      </c>
      <c r="R91" s="17">
        <f>IF(N91="Yes",1,0)</f>
        <v/>
      </c>
      <c r="S91" s="17">
        <f>IF(N91=IF(OR(H91&gt;150,I91&gt;40),"Yes","No"),"Match","Mismatch")</f>
        <v/>
      </c>
    </row>
    <row r="92">
      <c r="A92" s="17" t="inlineStr">
        <is>
          <t>S00274</t>
        </is>
      </c>
      <c r="B92" s="17" t="inlineStr">
        <is>
          <t>P4950</t>
        </is>
      </c>
      <c r="C92" s="17" t="inlineStr">
        <is>
          <t>megan08</t>
        </is>
      </c>
      <c r="D92" s="17" t="inlineStr">
        <is>
          <t>Empire Wars</t>
        </is>
      </c>
      <c r="E92" s="17" t="inlineStr">
        <is>
          <t>PC</t>
        </is>
      </c>
      <c r="F92" s="17" t="inlineStr">
        <is>
          <t>North</t>
        </is>
      </c>
      <c r="G92" s="18" t="n">
        <v>45670</v>
      </c>
      <c r="H92" s="17" t="n">
        <v>130</v>
      </c>
      <c r="I92" s="17" t="n">
        <v>0</v>
      </c>
      <c r="J92" s="17" t="inlineStr">
        <is>
          <t>No Purchase</t>
        </is>
      </c>
      <c r="K92" s="17" t="inlineStr">
        <is>
          <t>Completed</t>
        </is>
      </c>
      <c r="L92" s="17" t="inlineStr">
        <is>
          <t>Free</t>
        </is>
      </c>
      <c r="M92" s="17" t="n">
        <v>49</v>
      </c>
      <c r="N92" s="17" t="inlineStr">
        <is>
          <t>No</t>
        </is>
      </c>
      <c r="O92" s="17">
        <f>TEXT(G92,"yyyy-mm")</f>
        <v/>
      </c>
      <c r="P92" s="17">
        <f>IF(H92&lt;20,"Low",IF(H92&lt;=60,"Medium","High"))</f>
        <v/>
      </c>
      <c r="Q92" s="17">
        <f>IF(I92&gt;0,"Yes","No")</f>
        <v/>
      </c>
      <c r="R92" s="17">
        <f>IF(N92="Yes",1,0)</f>
        <v/>
      </c>
      <c r="S92" s="17">
        <f>IF(N92=IF(OR(H92&gt;150,I92&gt;40),"Yes","No"),"Match","Mismatch")</f>
        <v/>
      </c>
    </row>
    <row r="93">
      <c r="A93" s="17" t="inlineStr">
        <is>
          <t>S00130</t>
        </is>
      </c>
      <c r="B93" s="17" t="inlineStr">
        <is>
          <t>P9652</t>
        </is>
      </c>
      <c r="C93" s="17" t="inlineStr">
        <is>
          <t>vedwards</t>
        </is>
      </c>
      <c r="D93" s="17" t="inlineStr">
        <is>
          <t>Zombie Rush</t>
        </is>
      </c>
      <c r="E93" s="17" t="inlineStr">
        <is>
          <t>Mobile</t>
        </is>
      </c>
      <c r="F93" s="17" t="inlineStr">
        <is>
          <t>East</t>
        </is>
      </c>
      <c r="G93" s="18" t="n">
        <v>45670</v>
      </c>
      <c r="H93" s="17" t="n">
        <v>133</v>
      </c>
      <c r="I93" s="17" t="n">
        <v>0</v>
      </c>
      <c r="J93" s="17" t="inlineStr">
        <is>
          <t>No Purchase</t>
        </is>
      </c>
      <c r="K93" s="17" t="inlineStr">
        <is>
          <t>Completed</t>
        </is>
      </c>
      <c r="L93" s="17" t="inlineStr">
        <is>
          <t>Free</t>
        </is>
      </c>
      <c r="M93" s="17" t="n">
        <v>35</v>
      </c>
      <c r="N93" s="17" t="inlineStr">
        <is>
          <t>No</t>
        </is>
      </c>
      <c r="O93" s="17">
        <f>TEXT(G93,"yyyy-mm")</f>
        <v/>
      </c>
      <c r="P93" s="17">
        <f>IF(H93&lt;20,"Low",IF(H93&lt;=60,"Medium","High"))</f>
        <v/>
      </c>
      <c r="Q93" s="17">
        <f>IF(I93&gt;0,"Yes","No")</f>
        <v/>
      </c>
      <c r="R93" s="17">
        <f>IF(N93="Yes",1,0)</f>
        <v/>
      </c>
      <c r="S93" s="17">
        <f>IF(N93=IF(OR(H93&gt;150,I93&gt;40),"Yes","No"),"Match","Mismatch")</f>
        <v/>
      </c>
    </row>
    <row r="94">
      <c r="A94" s="17" t="inlineStr">
        <is>
          <t>S00281</t>
        </is>
      </c>
      <c r="B94" s="17" t="inlineStr">
        <is>
          <t>P5712</t>
        </is>
      </c>
      <c r="C94" s="17" t="inlineStr">
        <is>
          <t>brandon14</t>
        </is>
      </c>
      <c r="D94" s="17" t="inlineStr">
        <is>
          <t>Zombie Rush</t>
        </is>
      </c>
      <c r="E94" s="17" t="inlineStr">
        <is>
          <t>Console</t>
        </is>
      </c>
      <c r="F94" s="17" t="inlineStr">
        <is>
          <t>North-East</t>
        </is>
      </c>
      <c r="G94" s="18" t="n">
        <v>45671</v>
      </c>
      <c r="H94" s="17" t="n">
        <v>179</v>
      </c>
      <c r="I94" s="17" t="n">
        <v>0</v>
      </c>
      <c r="J94" s="17" t="inlineStr">
        <is>
          <t>No Purchase</t>
        </is>
      </c>
      <c r="K94" s="17" t="inlineStr">
        <is>
          <t>Completed</t>
        </is>
      </c>
      <c r="L94" s="17" t="inlineStr">
        <is>
          <t>Paid</t>
        </is>
      </c>
      <c r="M94" s="17" t="n">
        <v>34</v>
      </c>
      <c r="N94" s="17" t="inlineStr">
        <is>
          <t>Yes</t>
        </is>
      </c>
      <c r="O94" s="17">
        <f>TEXT(G94,"yyyy-mm")</f>
        <v/>
      </c>
      <c r="P94" s="17">
        <f>IF(H94&lt;20,"Low",IF(H94&lt;=60,"Medium","High"))</f>
        <v/>
      </c>
      <c r="Q94" s="17">
        <f>IF(I94&gt;0,"Yes","No")</f>
        <v/>
      </c>
      <c r="R94" s="17">
        <f>IF(N94="Yes",1,0)</f>
        <v/>
      </c>
      <c r="S94" s="17">
        <f>IF(N94=IF(OR(H94&gt;150,I94&gt;40),"Yes","No"),"Match","Mismatch")</f>
        <v/>
      </c>
    </row>
    <row r="95">
      <c r="A95" s="17" t="inlineStr">
        <is>
          <t>S00363</t>
        </is>
      </c>
      <c r="B95" s="17" t="inlineStr">
        <is>
          <t>P8050</t>
        </is>
      </c>
      <c r="C95" s="17" t="inlineStr">
        <is>
          <t>andersonwilliam</t>
        </is>
      </c>
      <c r="D95" s="17" t="inlineStr">
        <is>
          <t>SpeedX</t>
        </is>
      </c>
      <c r="E95" s="17" t="inlineStr">
        <is>
          <t>Console</t>
        </is>
      </c>
      <c r="F95" s="17" t="inlineStr">
        <is>
          <t>West</t>
        </is>
      </c>
      <c r="G95" s="18" t="n">
        <v>45671</v>
      </c>
      <c r="H95" s="17" t="n">
        <v>102</v>
      </c>
      <c r="I95" s="17" t="n">
        <v>0</v>
      </c>
      <c r="J95" s="17" t="inlineStr">
        <is>
          <t>No Purchase</t>
        </is>
      </c>
      <c r="K95" s="17" t="inlineStr">
        <is>
          <t>Completed</t>
        </is>
      </c>
      <c r="L95" s="17" t="inlineStr">
        <is>
          <t>Free</t>
        </is>
      </c>
      <c r="M95" s="17" t="n">
        <v>2</v>
      </c>
      <c r="N95" s="17" t="inlineStr">
        <is>
          <t>No</t>
        </is>
      </c>
      <c r="O95" s="17">
        <f>TEXT(G95,"yyyy-mm")</f>
        <v/>
      </c>
      <c r="P95" s="17">
        <f>IF(H95&lt;20,"Low",IF(H95&lt;=60,"Medium","High"))</f>
        <v/>
      </c>
      <c r="Q95" s="17">
        <f>IF(I95&gt;0,"Yes","No")</f>
        <v/>
      </c>
      <c r="R95" s="17">
        <f>IF(N95="Yes",1,0)</f>
        <v/>
      </c>
      <c r="S95" s="17">
        <f>IF(N95=IF(OR(H95&gt;150,I95&gt;40),"Yes","No"),"Match","Mismatch")</f>
        <v/>
      </c>
    </row>
    <row r="96">
      <c r="A96" s="17" t="inlineStr">
        <is>
          <t>S00495</t>
        </is>
      </c>
      <c r="B96" s="17" t="inlineStr">
        <is>
          <t>P7831</t>
        </is>
      </c>
      <c r="C96" s="17" t="inlineStr">
        <is>
          <t>kingsandra</t>
        </is>
      </c>
      <c r="D96" s="17" t="inlineStr">
        <is>
          <t>Empire Wars</t>
        </is>
      </c>
      <c r="E96" s="17" t="inlineStr">
        <is>
          <t>Console</t>
        </is>
      </c>
      <c r="F96" s="17" t="inlineStr">
        <is>
          <t>West</t>
        </is>
      </c>
      <c r="G96" s="18" t="n">
        <v>45672</v>
      </c>
      <c r="H96" s="17" t="n">
        <v>171</v>
      </c>
      <c r="I96" s="17" t="n">
        <v>0</v>
      </c>
      <c r="J96" s="17" t="inlineStr">
        <is>
          <t>No Purchase</t>
        </is>
      </c>
      <c r="K96" s="17" t="inlineStr">
        <is>
          <t>Completed</t>
        </is>
      </c>
      <c r="L96" s="17" t="inlineStr">
        <is>
          <t>Free</t>
        </is>
      </c>
      <c r="M96" s="17" t="n">
        <v>35</v>
      </c>
      <c r="N96" s="17" t="inlineStr">
        <is>
          <t>Yes</t>
        </is>
      </c>
      <c r="O96" s="17">
        <f>TEXT(G96,"yyyy-mm")</f>
        <v/>
      </c>
      <c r="P96" s="17">
        <f>IF(H96&lt;20,"Low",IF(H96&lt;=60,"Medium","High"))</f>
        <v/>
      </c>
      <c r="Q96" s="17">
        <f>IF(I96&gt;0,"Yes","No")</f>
        <v/>
      </c>
      <c r="R96" s="17">
        <f>IF(N96="Yes",1,0)</f>
        <v/>
      </c>
      <c r="S96" s="17">
        <f>IF(N96=IF(OR(H96&gt;150,I96&gt;40),"Yes","No"),"Match","Mismatch")</f>
        <v/>
      </c>
    </row>
    <row r="97">
      <c r="A97" s="17" t="inlineStr">
        <is>
          <t>S00411</t>
        </is>
      </c>
      <c r="B97" s="17" t="inlineStr">
        <is>
          <t>P3311</t>
        </is>
      </c>
      <c r="C97" s="17" t="inlineStr">
        <is>
          <t>riddleaaron</t>
        </is>
      </c>
      <c r="D97" s="17" t="inlineStr">
        <is>
          <t>Clash of Realms</t>
        </is>
      </c>
      <c r="E97" s="17" t="inlineStr">
        <is>
          <t>Console</t>
        </is>
      </c>
      <c r="F97" s="17" t="inlineStr">
        <is>
          <t>East</t>
        </is>
      </c>
      <c r="G97" s="18" t="n">
        <v>45673</v>
      </c>
      <c r="H97" s="17" t="n">
        <v>166</v>
      </c>
      <c r="I97" s="17" t="n">
        <v>0</v>
      </c>
      <c r="J97" s="17" t="inlineStr">
        <is>
          <t>No Purchase</t>
        </is>
      </c>
      <c r="K97" s="17" t="inlineStr">
        <is>
          <t>Incomplete</t>
        </is>
      </c>
      <c r="L97" s="17" t="inlineStr">
        <is>
          <t>Free</t>
        </is>
      </c>
      <c r="M97" s="17" t="n">
        <v>5</v>
      </c>
      <c r="N97" s="17" t="inlineStr">
        <is>
          <t>Yes</t>
        </is>
      </c>
      <c r="O97" s="17">
        <f>TEXT(G97,"yyyy-mm")</f>
        <v/>
      </c>
      <c r="P97" s="17">
        <f>IF(H97&lt;20,"Low",IF(H97&lt;=60,"Medium","High"))</f>
        <v/>
      </c>
      <c r="Q97" s="17">
        <f>IF(I97&gt;0,"Yes","No")</f>
        <v/>
      </c>
      <c r="R97" s="17">
        <f>IF(N97="Yes",1,0)</f>
        <v/>
      </c>
      <c r="S97" s="17">
        <f>IF(N97=IF(OR(H97&gt;150,I97&gt;40),"Yes","No"),"Match","Mismatch")</f>
        <v/>
      </c>
    </row>
    <row r="98">
      <c r="A98" s="17" t="inlineStr">
        <is>
          <t>S00040</t>
        </is>
      </c>
      <c r="B98" s="17" t="inlineStr">
        <is>
          <t>P3875</t>
        </is>
      </c>
      <c r="C98" s="17" t="inlineStr">
        <is>
          <t>bruce09</t>
        </is>
      </c>
      <c r="D98" s="17" t="inlineStr">
        <is>
          <t>SpeedX</t>
        </is>
      </c>
      <c r="E98" s="17" t="inlineStr">
        <is>
          <t>PC</t>
        </is>
      </c>
      <c r="F98" s="17" t="inlineStr">
        <is>
          <t>North-East</t>
        </is>
      </c>
      <c r="G98" s="18" t="n">
        <v>45673</v>
      </c>
      <c r="H98" s="17" t="n">
        <v>82</v>
      </c>
      <c r="I98" s="17" t="n">
        <v>24.1</v>
      </c>
      <c r="J98" s="17" t="inlineStr">
        <is>
          <t>Skins</t>
        </is>
      </c>
      <c r="K98" s="17" t="inlineStr">
        <is>
          <t>Completed</t>
        </is>
      </c>
      <c r="L98" s="17" t="inlineStr">
        <is>
          <t>Paid</t>
        </is>
      </c>
      <c r="M98" s="17" t="n">
        <v>34</v>
      </c>
      <c r="N98" s="17" t="inlineStr">
        <is>
          <t>No</t>
        </is>
      </c>
      <c r="O98" s="17">
        <f>TEXT(G98,"yyyy-mm")</f>
        <v/>
      </c>
      <c r="P98" s="17">
        <f>IF(H98&lt;20,"Low",IF(H98&lt;=60,"Medium","High"))</f>
        <v/>
      </c>
      <c r="Q98" s="17">
        <f>IF(I98&gt;0,"Yes","No")</f>
        <v/>
      </c>
      <c r="R98" s="17">
        <f>IF(N98="Yes",1,0)</f>
        <v/>
      </c>
      <c r="S98" s="17">
        <f>IF(N98=IF(OR(H98&gt;150,I98&gt;40),"Yes","No"),"Match","Mismatch")</f>
        <v/>
      </c>
    </row>
    <row r="99">
      <c r="A99" s="17" t="inlineStr">
        <is>
          <t>S00270</t>
        </is>
      </c>
      <c r="B99" s="17" t="inlineStr">
        <is>
          <t>P9094</t>
        </is>
      </c>
      <c r="C99" s="17" t="inlineStr">
        <is>
          <t>nsmith</t>
        </is>
      </c>
      <c r="D99" s="17" t="inlineStr">
        <is>
          <t>Clash of Realms</t>
        </is>
      </c>
      <c r="E99" s="17" t="inlineStr">
        <is>
          <t>PC</t>
        </is>
      </c>
      <c r="F99" s="17" t="inlineStr">
        <is>
          <t>West</t>
        </is>
      </c>
      <c r="G99" s="18" t="n">
        <v>45673</v>
      </c>
      <c r="H99" s="17" t="n">
        <v>15</v>
      </c>
      <c r="I99" s="17" t="n">
        <v>0</v>
      </c>
      <c r="J99" s="17" t="inlineStr">
        <is>
          <t>No Purchase</t>
        </is>
      </c>
      <c r="K99" s="17" t="inlineStr">
        <is>
          <t>Completed</t>
        </is>
      </c>
      <c r="L99" s="17" t="inlineStr">
        <is>
          <t>Paid</t>
        </is>
      </c>
      <c r="M99" s="17" t="n">
        <v>47</v>
      </c>
      <c r="N99" s="17" t="inlineStr">
        <is>
          <t>No</t>
        </is>
      </c>
      <c r="O99" s="17">
        <f>TEXT(G99,"yyyy-mm")</f>
        <v/>
      </c>
      <c r="P99" s="17">
        <f>IF(H99&lt;20,"Low",IF(H99&lt;=60,"Medium","High"))</f>
        <v/>
      </c>
      <c r="Q99" s="17">
        <f>IF(I99&gt;0,"Yes","No")</f>
        <v/>
      </c>
      <c r="R99" s="17">
        <f>IF(N99="Yes",1,0)</f>
        <v/>
      </c>
      <c r="S99" s="17">
        <f>IF(N99=IF(OR(H99&gt;150,I99&gt;40),"Yes","No"),"Match","Mismatch")</f>
        <v/>
      </c>
    </row>
    <row r="100">
      <c r="A100" s="17" t="inlineStr">
        <is>
          <t>S00477</t>
        </is>
      </c>
      <c r="B100" s="17" t="inlineStr">
        <is>
          <t>P2059</t>
        </is>
      </c>
      <c r="C100" s="17" t="inlineStr">
        <is>
          <t>valenzuelakim</t>
        </is>
      </c>
      <c r="D100" s="17" t="inlineStr">
        <is>
          <t>BattleZone</t>
        </is>
      </c>
      <c r="E100" s="17" t="inlineStr">
        <is>
          <t>PC</t>
        </is>
      </c>
      <c r="F100" s="17" t="inlineStr">
        <is>
          <t>North</t>
        </is>
      </c>
      <c r="G100" s="18" t="n">
        <v>45673</v>
      </c>
      <c r="H100" s="17" t="n">
        <v>111</v>
      </c>
      <c r="I100" s="17" t="n">
        <v>0</v>
      </c>
      <c r="J100" s="17" t="inlineStr">
        <is>
          <t>No Purchase</t>
        </is>
      </c>
      <c r="K100" s="17" t="inlineStr">
        <is>
          <t>Completed</t>
        </is>
      </c>
      <c r="L100" s="17" t="inlineStr">
        <is>
          <t>Free</t>
        </is>
      </c>
      <c r="M100" s="17" t="n">
        <v>38</v>
      </c>
      <c r="N100" s="17" t="inlineStr">
        <is>
          <t>No</t>
        </is>
      </c>
      <c r="O100" s="17">
        <f>TEXT(G100,"yyyy-mm")</f>
        <v/>
      </c>
      <c r="P100" s="17">
        <f>IF(H100&lt;20,"Low",IF(H100&lt;=60,"Medium","High"))</f>
        <v/>
      </c>
      <c r="Q100" s="17">
        <f>IF(I100&gt;0,"Yes","No")</f>
        <v/>
      </c>
      <c r="R100" s="17">
        <f>IF(N100="Yes",1,0)</f>
        <v/>
      </c>
      <c r="S100" s="17">
        <f>IF(N100=IF(OR(H100&gt;150,I100&gt;40),"Yes","No"),"Match","Mismatch")</f>
        <v/>
      </c>
    </row>
    <row r="101">
      <c r="A101" s="17" t="inlineStr">
        <is>
          <t>S00069</t>
        </is>
      </c>
      <c r="B101" s="17" t="inlineStr">
        <is>
          <t>P8527</t>
        </is>
      </c>
      <c r="C101" s="17" t="inlineStr">
        <is>
          <t>claudiasilva</t>
        </is>
      </c>
      <c r="D101" s="17" t="inlineStr">
        <is>
          <t>Empire Wars</t>
        </is>
      </c>
      <c r="E101" s="17" t="inlineStr">
        <is>
          <t>Console</t>
        </is>
      </c>
      <c r="F101" s="17" t="inlineStr">
        <is>
          <t>East</t>
        </is>
      </c>
      <c r="G101" s="18" t="n">
        <v>45674</v>
      </c>
      <c r="H101" s="17" t="n">
        <v>165</v>
      </c>
      <c r="I101" s="17" t="n">
        <v>0</v>
      </c>
      <c r="J101" s="17" t="inlineStr">
        <is>
          <t>No Purchase</t>
        </is>
      </c>
      <c r="K101" s="17" t="inlineStr">
        <is>
          <t>Completed</t>
        </is>
      </c>
      <c r="L101" s="17" t="inlineStr">
        <is>
          <t>Free</t>
        </is>
      </c>
      <c r="M101" s="17" t="n">
        <v>15</v>
      </c>
      <c r="N101" s="17" t="inlineStr">
        <is>
          <t>Yes</t>
        </is>
      </c>
      <c r="O101" s="17">
        <f>TEXT(G101,"yyyy-mm")</f>
        <v/>
      </c>
      <c r="P101" s="17">
        <f>IF(H101&lt;20,"Low",IF(H101&lt;=60,"Medium","High"))</f>
        <v/>
      </c>
      <c r="Q101" s="17">
        <f>IF(I101&gt;0,"Yes","No")</f>
        <v/>
      </c>
      <c r="R101" s="17">
        <f>IF(N101="Yes",1,0)</f>
        <v/>
      </c>
      <c r="S101" s="17">
        <f>IF(N101=IF(OR(H101&gt;150,I101&gt;40),"Yes","No"),"Match","Mismatch")</f>
        <v/>
      </c>
    </row>
    <row r="102">
      <c r="A102" s="17" t="inlineStr">
        <is>
          <t>S00246</t>
        </is>
      </c>
      <c r="B102" s="17" t="inlineStr">
        <is>
          <t>P4807</t>
        </is>
      </c>
      <c r="C102" s="17" t="inlineStr">
        <is>
          <t>alexwilson</t>
        </is>
      </c>
      <c r="D102" s="17" t="inlineStr">
        <is>
          <t>BattleZone</t>
        </is>
      </c>
      <c r="E102" s="17" t="inlineStr">
        <is>
          <t>Console</t>
        </is>
      </c>
      <c r="F102" s="17" t="inlineStr">
        <is>
          <t>Central</t>
        </is>
      </c>
      <c r="G102" s="18" t="n">
        <v>45675</v>
      </c>
      <c r="H102" s="17" t="n">
        <v>154</v>
      </c>
      <c r="I102" s="17" t="n">
        <v>0</v>
      </c>
      <c r="J102" s="17" t="inlineStr">
        <is>
          <t>No Purchase</t>
        </is>
      </c>
      <c r="K102" s="17" t="inlineStr">
        <is>
          <t>Completed</t>
        </is>
      </c>
      <c r="L102" s="17" t="inlineStr">
        <is>
          <t>Free</t>
        </is>
      </c>
      <c r="M102" s="17" t="n">
        <v>8</v>
      </c>
      <c r="N102" s="17" t="inlineStr">
        <is>
          <t>Yes</t>
        </is>
      </c>
      <c r="O102" s="17">
        <f>TEXT(G102,"yyyy-mm")</f>
        <v/>
      </c>
      <c r="P102" s="17">
        <f>IF(H102&lt;20,"Low",IF(H102&lt;=60,"Medium","High"))</f>
        <v/>
      </c>
      <c r="Q102" s="17">
        <f>IF(I102&gt;0,"Yes","No")</f>
        <v/>
      </c>
      <c r="R102" s="17">
        <f>IF(N102="Yes",1,0)</f>
        <v/>
      </c>
      <c r="S102" s="17">
        <f>IF(N102=IF(OR(H102&gt;150,I102&gt;40),"Yes","No"),"Match","Mismatch")</f>
        <v/>
      </c>
    </row>
    <row r="103">
      <c r="A103" s="17" t="inlineStr">
        <is>
          <t>S00498</t>
        </is>
      </c>
      <c r="B103" s="17" t="inlineStr">
        <is>
          <t>P6771</t>
        </is>
      </c>
      <c r="C103" s="17" t="inlineStr">
        <is>
          <t>kenneth92</t>
        </is>
      </c>
      <c r="D103" s="17" t="inlineStr">
        <is>
          <t>BattleZone</t>
        </is>
      </c>
      <c r="E103" s="17" t="inlineStr">
        <is>
          <t>PC</t>
        </is>
      </c>
      <c r="F103" s="17" t="inlineStr">
        <is>
          <t>West</t>
        </is>
      </c>
      <c r="G103" s="18" t="n">
        <v>45675</v>
      </c>
      <c r="H103" s="17" t="n">
        <v>44</v>
      </c>
      <c r="I103" s="17" t="n">
        <v>0</v>
      </c>
      <c r="J103" s="17" t="inlineStr">
        <is>
          <t>No Purchase</t>
        </is>
      </c>
      <c r="K103" s="17" t="inlineStr">
        <is>
          <t>Completed</t>
        </is>
      </c>
      <c r="L103" s="17" t="inlineStr">
        <is>
          <t>Free</t>
        </is>
      </c>
      <c r="M103" s="17" t="n">
        <v>42</v>
      </c>
      <c r="N103" s="17" t="inlineStr">
        <is>
          <t>No</t>
        </is>
      </c>
      <c r="O103" s="17">
        <f>TEXT(G103,"yyyy-mm")</f>
        <v/>
      </c>
      <c r="P103" s="17">
        <f>IF(H103&lt;20,"Low",IF(H103&lt;=60,"Medium","High"))</f>
        <v/>
      </c>
      <c r="Q103" s="17">
        <f>IF(I103&gt;0,"Yes","No")</f>
        <v/>
      </c>
      <c r="R103" s="17">
        <f>IF(N103="Yes",1,0)</f>
        <v/>
      </c>
      <c r="S103" s="17">
        <f>IF(N103=IF(OR(H103&gt;150,I103&gt;40),"Yes","No"),"Match","Mismatch")</f>
        <v/>
      </c>
    </row>
    <row r="104">
      <c r="A104" s="17" t="inlineStr">
        <is>
          <t>S00245</t>
        </is>
      </c>
      <c r="B104" s="17" t="inlineStr">
        <is>
          <t>P8881</t>
        </is>
      </c>
      <c r="C104" s="17" t="inlineStr">
        <is>
          <t>carpenterjohn</t>
        </is>
      </c>
      <c r="D104" s="17" t="inlineStr">
        <is>
          <t>SpeedX</t>
        </is>
      </c>
      <c r="E104" s="17" t="inlineStr">
        <is>
          <t>Mobile</t>
        </is>
      </c>
      <c r="F104" s="17" t="inlineStr">
        <is>
          <t>Central</t>
        </is>
      </c>
      <c r="G104" s="18" t="n">
        <v>45675</v>
      </c>
      <c r="H104" s="17" t="n">
        <v>142</v>
      </c>
      <c r="I104" s="17" t="n">
        <v>0</v>
      </c>
      <c r="J104" s="17" t="inlineStr">
        <is>
          <t>No Purchase</t>
        </is>
      </c>
      <c r="K104" s="17" t="inlineStr">
        <is>
          <t>Completed</t>
        </is>
      </c>
      <c r="L104" s="17" t="inlineStr">
        <is>
          <t>Free</t>
        </is>
      </c>
      <c r="M104" s="17" t="n">
        <v>11</v>
      </c>
      <c r="N104" s="17" t="inlineStr">
        <is>
          <t>No</t>
        </is>
      </c>
      <c r="O104" s="17">
        <f>TEXT(G104,"yyyy-mm")</f>
        <v/>
      </c>
      <c r="P104" s="17">
        <f>IF(H104&lt;20,"Low",IF(H104&lt;=60,"Medium","High"))</f>
        <v/>
      </c>
      <c r="Q104" s="17">
        <f>IF(I104&gt;0,"Yes","No")</f>
        <v/>
      </c>
      <c r="R104" s="17">
        <f>IF(N104="Yes",1,0)</f>
        <v/>
      </c>
      <c r="S104" s="17">
        <f>IF(N104=IF(OR(H104&gt;150,I104&gt;40),"Yes","No"),"Match","Mismatch")</f>
        <v/>
      </c>
    </row>
    <row r="105">
      <c r="A105" s="17" t="inlineStr">
        <is>
          <t>S00424</t>
        </is>
      </c>
      <c r="B105" s="17" t="inlineStr">
        <is>
          <t>P8632</t>
        </is>
      </c>
      <c r="C105" s="17" t="inlineStr">
        <is>
          <t>nramos</t>
        </is>
      </c>
      <c r="D105" s="17" t="inlineStr">
        <is>
          <t>Zombie Rush</t>
        </is>
      </c>
      <c r="E105" s="17" t="inlineStr">
        <is>
          <t>Console</t>
        </is>
      </c>
      <c r="F105" s="17" t="inlineStr">
        <is>
          <t>South</t>
        </is>
      </c>
      <c r="G105" s="18" t="n">
        <v>45676</v>
      </c>
      <c r="H105" s="17" t="n">
        <v>146</v>
      </c>
      <c r="I105" s="17" t="n">
        <v>22.51</v>
      </c>
      <c r="J105" s="17" t="inlineStr">
        <is>
          <t>Battle Pass</t>
        </is>
      </c>
      <c r="K105" s="17" t="inlineStr">
        <is>
          <t>Exited Early</t>
        </is>
      </c>
      <c r="L105" s="17" t="inlineStr">
        <is>
          <t>Paid</t>
        </is>
      </c>
      <c r="M105" s="17" t="n">
        <v>25</v>
      </c>
      <c r="N105" s="17" t="inlineStr">
        <is>
          <t>No</t>
        </is>
      </c>
      <c r="O105" s="17">
        <f>TEXT(G105,"yyyy-mm")</f>
        <v/>
      </c>
      <c r="P105" s="17">
        <f>IF(H105&lt;20,"Low",IF(H105&lt;=60,"Medium","High"))</f>
        <v/>
      </c>
      <c r="Q105" s="17">
        <f>IF(I105&gt;0,"Yes","No")</f>
        <v/>
      </c>
      <c r="R105" s="17">
        <f>IF(N105="Yes",1,0)</f>
        <v/>
      </c>
      <c r="S105" s="17">
        <f>IF(N105=IF(OR(H105&gt;150,I105&gt;40),"Yes","No"),"Match","Mismatch")</f>
        <v/>
      </c>
    </row>
    <row r="106">
      <c r="A106" s="17" t="inlineStr">
        <is>
          <t>S00045</t>
        </is>
      </c>
      <c r="B106" s="17" t="inlineStr">
        <is>
          <t>P7820</t>
        </is>
      </c>
      <c r="C106" s="17" t="inlineStr">
        <is>
          <t>jennifer87</t>
        </is>
      </c>
      <c r="D106" s="17" t="inlineStr">
        <is>
          <t>BattleZone</t>
        </is>
      </c>
      <c r="E106" s="17" t="inlineStr">
        <is>
          <t>PC</t>
        </is>
      </c>
      <c r="F106" s="17" t="inlineStr">
        <is>
          <t>West</t>
        </is>
      </c>
      <c r="G106" s="18" t="n">
        <v>45676</v>
      </c>
      <c r="H106" s="17" t="n">
        <v>15</v>
      </c>
      <c r="I106" s="17" t="n">
        <v>0</v>
      </c>
      <c r="J106" s="17" t="inlineStr">
        <is>
          <t>No Purchase</t>
        </is>
      </c>
      <c r="K106" s="17" t="inlineStr">
        <is>
          <t>Crashed</t>
        </is>
      </c>
      <c r="L106" s="17" t="inlineStr">
        <is>
          <t>Free</t>
        </is>
      </c>
      <c r="M106" s="17" t="n">
        <v>38</v>
      </c>
      <c r="N106" s="17" t="inlineStr">
        <is>
          <t>No</t>
        </is>
      </c>
      <c r="O106" s="17">
        <f>TEXT(G106,"yyyy-mm")</f>
        <v/>
      </c>
      <c r="P106" s="17">
        <f>IF(H106&lt;20,"Low",IF(H106&lt;=60,"Medium","High"))</f>
        <v/>
      </c>
      <c r="Q106" s="17">
        <f>IF(I106&gt;0,"Yes","No")</f>
        <v/>
      </c>
      <c r="R106" s="17">
        <f>IF(N106="Yes",1,0)</f>
        <v/>
      </c>
      <c r="S106" s="17">
        <f>IF(N106=IF(OR(H106&gt;150,I106&gt;40),"Yes","No"),"Match","Mismatch")</f>
        <v/>
      </c>
    </row>
    <row r="107">
      <c r="A107" s="17" t="inlineStr">
        <is>
          <t>S00462</t>
        </is>
      </c>
      <c r="B107" s="17" t="inlineStr">
        <is>
          <t>P2853</t>
        </is>
      </c>
      <c r="C107" s="17" t="inlineStr">
        <is>
          <t>dannyforbes</t>
        </is>
      </c>
      <c r="D107" s="17" t="inlineStr">
        <is>
          <t>Empire Wars</t>
        </is>
      </c>
      <c r="E107" s="17" t="inlineStr">
        <is>
          <t>Mobile</t>
        </is>
      </c>
      <c r="F107" s="17" t="inlineStr">
        <is>
          <t>West</t>
        </is>
      </c>
      <c r="G107" s="18" t="n">
        <v>45676</v>
      </c>
      <c r="H107" s="17" t="n">
        <v>51</v>
      </c>
      <c r="I107" s="17" t="n">
        <v>20.97</v>
      </c>
      <c r="J107" s="17" t="inlineStr">
        <is>
          <t>Skins</t>
        </is>
      </c>
      <c r="K107" s="17" t="inlineStr">
        <is>
          <t>Completed</t>
        </is>
      </c>
      <c r="L107" s="17" t="inlineStr">
        <is>
          <t>Paid</t>
        </is>
      </c>
      <c r="M107" s="17" t="n">
        <v>31</v>
      </c>
      <c r="N107" s="17" t="inlineStr">
        <is>
          <t>No</t>
        </is>
      </c>
      <c r="O107" s="17">
        <f>TEXT(G107,"yyyy-mm")</f>
        <v/>
      </c>
      <c r="P107" s="17">
        <f>IF(H107&lt;20,"Low",IF(H107&lt;=60,"Medium","High"))</f>
        <v/>
      </c>
      <c r="Q107" s="17">
        <f>IF(I107&gt;0,"Yes","No")</f>
        <v/>
      </c>
      <c r="R107" s="17">
        <f>IF(N107="Yes",1,0)</f>
        <v/>
      </c>
      <c r="S107" s="17">
        <f>IF(N107=IF(OR(H107&gt;150,I107&gt;40),"Yes","No"),"Match","Mismatch")</f>
        <v/>
      </c>
    </row>
    <row r="108">
      <c r="A108" s="17" t="inlineStr">
        <is>
          <t>S00334</t>
        </is>
      </c>
      <c r="B108" s="17" t="inlineStr">
        <is>
          <t>P1470</t>
        </is>
      </c>
      <c r="C108" s="17" t="inlineStr">
        <is>
          <t>jonesjames</t>
        </is>
      </c>
      <c r="D108" s="17" t="inlineStr">
        <is>
          <t>BattleZone</t>
        </is>
      </c>
      <c r="E108" s="17" t="inlineStr">
        <is>
          <t>Console</t>
        </is>
      </c>
      <c r="F108" s="17" t="inlineStr">
        <is>
          <t>Central</t>
        </is>
      </c>
      <c r="G108" s="18" t="n">
        <v>45676</v>
      </c>
      <c r="H108" s="17" t="n">
        <v>5</v>
      </c>
      <c r="I108" s="17" t="n">
        <v>14.86</v>
      </c>
      <c r="J108" s="17" t="inlineStr">
        <is>
          <t>Battle Pass</t>
        </is>
      </c>
      <c r="K108" s="17" t="inlineStr">
        <is>
          <t>Incomplete</t>
        </is>
      </c>
      <c r="L108" s="17" t="inlineStr">
        <is>
          <t>Paid</t>
        </is>
      </c>
      <c r="M108" s="17" t="n">
        <v>23</v>
      </c>
      <c r="N108" s="17" t="inlineStr">
        <is>
          <t>No</t>
        </is>
      </c>
      <c r="O108" s="17">
        <f>TEXT(G108,"yyyy-mm")</f>
        <v/>
      </c>
      <c r="P108" s="17">
        <f>IF(H108&lt;20,"Low",IF(H108&lt;=60,"Medium","High"))</f>
        <v/>
      </c>
      <c r="Q108" s="17">
        <f>IF(I108&gt;0,"Yes","No")</f>
        <v/>
      </c>
      <c r="R108" s="17">
        <f>IF(N108="Yes",1,0)</f>
        <v/>
      </c>
      <c r="S108" s="17">
        <f>IF(N108=IF(OR(H108&gt;150,I108&gt;40),"Yes","No"),"Match","Mismatch")</f>
        <v/>
      </c>
    </row>
    <row r="109">
      <c r="A109" s="17" t="inlineStr">
        <is>
          <t>S00043</t>
        </is>
      </c>
      <c r="B109" s="17" t="inlineStr">
        <is>
          <t>P2171</t>
        </is>
      </c>
      <c r="C109" s="17" t="inlineStr">
        <is>
          <t>nnguyen</t>
        </is>
      </c>
      <c r="D109" s="17" t="inlineStr">
        <is>
          <t>BattleZone</t>
        </is>
      </c>
      <c r="E109" s="17" t="inlineStr">
        <is>
          <t>PC</t>
        </is>
      </c>
      <c r="F109" s="17" t="inlineStr">
        <is>
          <t>West</t>
        </is>
      </c>
      <c r="G109" s="18" t="n">
        <v>45676</v>
      </c>
      <c r="H109" s="17" t="n">
        <v>112</v>
      </c>
      <c r="I109" s="17" t="n">
        <v>30.74</v>
      </c>
      <c r="J109" s="17" t="inlineStr">
        <is>
          <t>Subscriptions</t>
        </is>
      </c>
      <c r="K109" s="17" t="inlineStr">
        <is>
          <t>Completed</t>
        </is>
      </c>
      <c r="L109" s="17" t="inlineStr">
        <is>
          <t>Paid</t>
        </is>
      </c>
      <c r="M109" s="17" t="n">
        <v>10</v>
      </c>
      <c r="N109" s="17" t="inlineStr">
        <is>
          <t>No</t>
        </is>
      </c>
      <c r="O109" s="17">
        <f>TEXT(G109,"yyyy-mm")</f>
        <v/>
      </c>
      <c r="P109" s="17">
        <f>IF(H109&lt;20,"Low",IF(H109&lt;=60,"Medium","High"))</f>
        <v/>
      </c>
      <c r="Q109" s="17">
        <f>IF(I109&gt;0,"Yes","No")</f>
        <v/>
      </c>
      <c r="R109" s="17">
        <f>IF(N109="Yes",1,0)</f>
        <v/>
      </c>
      <c r="S109" s="17">
        <f>IF(N109=IF(OR(H109&gt;150,I109&gt;40),"Yes","No"),"Match","Mismatch")</f>
        <v/>
      </c>
    </row>
    <row r="110">
      <c r="A110" s="17" t="inlineStr">
        <is>
          <t>S00102</t>
        </is>
      </c>
      <c r="B110" s="17" t="inlineStr">
        <is>
          <t>P1736</t>
        </is>
      </c>
      <c r="C110" s="17" t="inlineStr">
        <is>
          <t>qserrano</t>
        </is>
      </c>
      <c r="D110" s="17" t="inlineStr">
        <is>
          <t>Zombie Rush</t>
        </is>
      </c>
      <c r="E110" s="17" t="inlineStr">
        <is>
          <t>Mobile</t>
        </is>
      </c>
      <c r="F110" s="17" t="inlineStr">
        <is>
          <t>East</t>
        </is>
      </c>
      <c r="G110" s="18" t="n">
        <v>45677</v>
      </c>
      <c r="H110" s="17" t="n">
        <v>180</v>
      </c>
      <c r="I110" s="17" t="n">
        <v>0</v>
      </c>
      <c r="J110" s="17" t="inlineStr">
        <is>
          <t>No Purchase</t>
        </is>
      </c>
      <c r="K110" s="17" t="inlineStr">
        <is>
          <t>Completed</t>
        </is>
      </c>
      <c r="L110" s="17" t="inlineStr">
        <is>
          <t>Free</t>
        </is>
      </c>
      <c r="M110" s="17" t="n">
        <v>28</v>
      </c>
      <c r="N110" s="17" t="inlineStr">
        <is>
          <t>Yes</t>
        </is>
      </c>
      <c r="O110" s="17">
        <f>TEXT(G110,"yyyy-mm")</f>
        <v/>
      </c>
      <c r="P110" s="17">
        <f>IF(H110&lt;20,"Low",IF(H110&lt;=60,"Medium","High"))</f>
        <v/>
      </c>
      <c r="Q110" s="17">
        <f>IF(I110&gt;0,"Yes","No")</f>
        <v/>
      </c>
      <c r="R110" s="17">
        <f>IF(N110="Yes",1,0)</f>
        <v/>
      </c>
      <c r="S110" s="17">
        <f>IF(N110=IF(OR(H110&gt;150,I110&gt;40),"Yes","No"),"Match","Mismatch")</f>
        <v/>
      </c>
    </row>
    <row r="111">
      <c r="A111" s="17" t="inlineStr">
        <is>
          <t>S00413</t>
        </is>
      </c>
      <c r="B111" s="17" t="inlineStr">
        <is>
          <t>P5355</t>
        </is>
      </c>
      <c r="C111" s="17" t="inlineStr">
        <is>
          <t>bruce10</t>
        </is>
      </c>
      <c r="D111" s="17" t="inlineStr">
        <is>
          <t>Empire Wars</t>
        </is>
      </c>
      <c r="E111" s="17" t="inlineStr">
        <is>
          <t>Console</t>
        </is>
      </c>
      <c r="F111" s="17" t="inlineStr">
        <is>
          <t>North-East</t>
        </is>
      </c>
      <c r="G111" s="18" t="n">
        <v>45677</v>
      </c>
      <c r="H111" s="17" t="n">
        <v>144</v>
      </c>
      <c r="I111" s="17" t="n">
        <v>0</v>
      </c>
      <c r="J111" s="17" t="inlineStr">
        <is>
          <t>No Purchase</t>
        </is>
      </c>
      <c r="K111" s="17" t="inlineStr">
        <is>
          <t>Completed</t>
        </is>
      </c>
      <c r="L111" s="17" t="inlineStr">
        <is>
          <t>Free</t>
        </is>
      </c>
      <c r="M111" s="17" t="n">
        <v>3</v>
      </c>
      <c r="N111" s="17" t="inlineStr">
        <is>
          <t>No</t>
        </is>
      </c>
      <c r="O111" s="17">
        <f>TEXT(G111,"yyyy-mm")</f>
        <v/>
      </c>
      <c r="P111" s="17">
        <f>IF(H111&lt;20,"Low",IF(H111&lt;=60,"Medium","High"))</f>
        <v/>
      </c>
      <c r="Q111" s="17">
        <f>IF(I111&gt;0,"Yes","No")</f>
        <v/>
      </c>
      <c r="R111" s="17">
        <f>IF(N111="Yes",1,0)</f>
        <v/>
      </c>
      <c r="S111" s="17">
        <f>IF(N111=IF(OR(H111&gt;150,I111&gt;40),"Yes","No"),"Match","Mismatch")</f>
        <v/>
      </c>
    </row>
    <row r="112">
      <c r="A112" s="17" t="inlineStr">
        <is>
          <t>S00084</t>
        </is>
      </c>
      <c r="B112" s="17" t="inlineStr">
        <is>
          <t>P3144</t>
        </is>
      </c>
      <c r="C112" s="17" t="inlineStr">
        <is>
          <t>karen96</t>
        </is>
      </c>
      <c r="D112" s="17" t="inlineStr">
        <is>
          <t>Clash of Realms</t>
        </is>
      </c>
      <c r="E112" s="17" t="inlineStr">
        <is>
          <t>Mobile</t>
        </is>
      </c>
      <c r="F112" s="17" t="inlineStr">
        <is>
          <t>South</t>
        </is>
      </c>
      <c r="G112" s="18" t="n">
        <v>45677</v>
      </c>
      <c r="H112" s="17" t="n">
        <v>53</v>
      </c>
      <c r="I112" s="17" t="n">
        <v>0</v>
      </c>
      <c r="J112" s="17" t="inlineStr">
        <is>
          <t>No Purchase</t>
        </is>
      </c>
      <c r="K112" s="17" t="inlineStr">
        <is>
          <t>Completed</t>
        </is>
      </c>
      <c r="L112" s="17" t="inlineStr">
        <is>
          <t>Free</t>
        </is>
      </c>
      <c r="M112" s="17" t="n">
        <v>4</v>
      </c>
      <c r="N112" s="17" t="inlineStr">
        <is>
          <t>No</t>
        </is>
      </c>
      <c r="O112" s="17">
        <f>TEXT(G112,"yyyy-mm")</f>
        <v/>
      </c>
      <c r="P112" s="17">
        <f>IF(H112&lt;20,"Low",IF(H112&lt;=60,"Medium","High"))</f>
        <v/>
      </c>
      <c r="Q112" s="17">
        <f>IF(I112&gt;0,"Yes","No")</f>
        <v/>
      </c>
      <c r="R112" s="17">
        <f>IF(N112="Yes",1,0)</f>
        <v/>
      </c>
      <c r="S112" s="17">
        <f>IF(N112=IF(OR(H112&gt;150,I112&gt;40),"Yes","No"),"Match","Mismatch")</f>
        <v/>
      </c>
    </row>
    <row r="113">
      <c r="A113" s="17" t="inlineStr">
        <is>
          <t>S00322</t>
        </is>
      </c>
      <c r="B113" s="17" t="inlineStr">
        <is>
          <t>P6010</t>
        </is>
      </c>
      <c r="C113" s="17" t="inlineStr">
        <is>
          <t>emilyking</t>
        </is>
      </c>
      <c r="D113" s="17" t="inlineStr">
        <is>
          <t>BattleZone</t>
        </is>
      </c>
      <c r="E113" s="17" t="inlineStr">
        <is>
          <t>PC</t>
        </is>
      </c>
      <c r="F113" s="17" t="inlineStr">
        <is>
          <t>South</t>
        </is>
      </c>
      <c r="G113" s="18" t="n">
        <v>45678</v>
      </c>
      <c r="H113" s="17" t="n">
        <v>128</v>
      </c>
      <c r="I113" s="17" t="n">
        <v>0</v>
      </c>
      <c r="J113" s="17" t="inlineStr">
        <is>
          <t>No Purchase</t>
        </is>
      </c>
      <c r="K113" s="17" t="inlineStr">
        <is>
          <t>Completed</t>
        </is>
      </c>
      <c r="L113" s="17" t="inlineStr">
        <is>
          <t>Free</t>
        </is>
      </c>
      <c r="M113" s="17" t="n">
        <v>35</v>
      </c>
      <c r="N113" s="17" t="inlineStr">
        <is>
          <t>No</t>
        </is>
      </c>
      <c r="O113" s="17">
        <f>TEXT(G113,"yyyy-mm")</f>
        <v/>
      </c>
      <c r="P113" s="17">
        <f>IF(H113&lt;20,"Low",IF(H113&lt;=60,"Medium","High"))</f>
        <v/>
      </c>
      <c r="Q113" s="17">
        <f>IF(I113&gt;0,"Yes","No")</f>
        <v/>
      </c>
      <c r="R113" s="17">
        <f>IF(N113="Yes",1,0)</f>
        <v/>
      </c>
      <c r="S113" s="17">
        <f>IF(N113=IF(OR(H113&gt;150,I113&gt;40),"Yes","No"),"Match","Mismatch")</f>
        <v/>
      </c>
    </row>
    <row r="114">
      <c r="A114" s="17" t="inlineStr">
        <is>
          <t>S00443</t>
        </is>
      </c>
      <c r="B114" s="17" t="inlineStr">
        <is>
          <t>P9493</t>
        </is>
      </c>
      <c r="C114" s="17" t="inlineStr">
        <is>
          <t>zmendoza</t>
        </is>
      </c>
      <c r="D114" s="17" t="inlineStr">
        <is>
          <t>Clash of Realms</t>
        </is>
      </c>
      <c r="E114" s="17" t="inlineStr">
        <is>
          <t>Mobile</t>
        </is>
      </c>
      <c r="F114" s="17" t="inlineStr">
        <is>
          <t>North-East</t>
        </is>
      </c>
      <c r="G114" s="18" t="n">
        <v>45678</v>
      </c>
      <c r="H114" s="17" t="n">
        <v>96</v>
      </c>
      <c r="I114" s="17" t="n">
        <v>0</v>
      </c>
      <c r="J114" s="17" t="inlineStr">
        <is>
          <t>No Purchase</t>
        </is>
      </c>
      <c r="K114" s="17" t="inlineStr">
        <is>
          <t>Completed</t>
        </is>
      </c>
      <c r="L114" s="17" t="inlineStr">
        <is>
          <t>Paid</t>
        </is>
      </c>
      <c r="M114" s="17" t="n">
        <v>38</v>
      </c>
      <c r="N114" s="17" t="inlineStr">
        <is>
          <t>No</t>
        </is>
      </c>
      <c r="O114" s="17">
        <f>TEXT(G114,"yyyy-mm")</f>
        <v/>
      </c>
      <c r="P114" s="17">
        <f>IF(H114&lt;20,"Low",IF(H114&lt;=60,"Medium","High"))</f>
        <v/>
      </c>
      <c r="Q114" s="17">
        <f>IF(I114&gt;0,"Yes","No")</f>
        <v/>
      </c>
      <c r="R114" s="17">
        <f>IF(N114="Yes",1,0)</f>
        <v/>
      </c>
      <c r="S114" s="17">
        <f>IF(N114=IF(OR(H114&gt;150,I114&gt;40),"Yes","No"),"Match","Mismatch")</f>
        <v/>
      </c>
    </row>
    <row r="115">
      <c r="A115" s="17" t="inlineStr">
        <is>
          <t>S00319</t>
        </is>
      </c>
      <c r="B115" s="17" t="inlineStr">
        <is>
          <t>P2067</t>
        </is>
      </c>
      <c r="C115" s="17" t="inlineStr">
        <is>
          <t>waltersnicholas</t>
        </is>
      </c>
      <c r="D115" s="17" t="inlineStr">
        <is>
          <t>Zombie Rush</t>
        </is>
      </c>
      <c r="E115" s="17" t="inlineStr">
        <is>
          <t>PC</t>
        </is>
      </c>
      <c r="F115" s="17" t="inlineStr">
        <is>
          <t>North</t>
        </is>
      </c>
      <c r="G115" s="18" t="n">
        <v>45678</v>
      </c>
      <c r="H115" s="17" t="n">
        <v>152</v>
      </c>
      <c r="I115" s="17" t="n">
        <v>0</v>
      </c>
      <c r="J115" s="17" t="inlineStr">
        <is>
          <t>No Purchase</t>
        </is>
      </c>
      <c r="K115" s="17" t="inlineStr">
        <is>
          <t>Completed</t>
        </is>
      </c>
      <c r="L115" s="17" t="inlineStr">
        <is>
          <t>Free</t>
        </is>
      </c>
      <c r="M115" s="17" t="n">
        <v>31</v>
      </c>
      <c r="N115" s="17" t="inlineStr">
        <is>
          <t>Yes</t>
        </is>
      </c>
      <c r="O115" s="17">
        <f>TEXT(G115,"yyyy-mm")</f>
        <v/>
      </c>
      <c r="P115" s="17">
        <f>IF(H115&lt;20,"Low",IF(H115&lt;=60,"Medium","High"))</f>
        <v/>
      </c>
      <c r="Q115" s="17">
        <f>IF(I115&gt;0,"Yes","No")</f>
        <v/>
      </c>
      <c r="R115" s="17">
        <f>IF(N115="Yes",1,0)</f>
        <v/>
      </c>
      <c r="S115" s="17">
        <f>IF(N115=IF(OR(H115&gt;150,I115&gt;40),"Yes","No"),"Match","Mismatch")</f>
        <v/>
      </c>
    </row>
    <row r="116">
      <c r="A116" s="17" t="inlineStr">
        <is>
          <t>S00400</t>
        </is>
      </c>
      <c r="B116" s="17" t="inlineStr">
        <is>
          <t>P1936</t>
        </is>
      </c>
      <c r="C116" s="17" t="inlineStr">
        <is>
          <t>hoodchristopher</t>
        </is>
      </c>
      <c r="D116" s="17" t="inlineStr">
        <is>
          <t>Zombie Rush</t>
        </is>
      </c>
      <c r="E116" s="17" t="inlineStr">
        <is>
          <t>Console</t>
        </is>
      </c>
      <c r="F116" s="17" t="inlineStr">
        <is>
          <t>North</t>
        </is>
      </c>
      <c r="G116" s="18" t="n">
        <v>45679</v>
      </c>
      <c r="H116" s="17" t="n">
        <v>23</v>
      </c>
      <c r="I116" s="17" t="n">
        <v>0</v>
      </c>
      <c r="J116" s="17" t="inlineStr">
        <is>
          <t>No Purchase</t>
        </is>
      </c>
      <c r="K116" s="17" t="inlineStr">
        <is>
          <t>Completed</t>
        </is>
      </c>
      <c r="L116" s="17" t="inlineStr">
        <is>
          <t>Paid</t>
        </is>
      </c>
      <c r="M116" s="17" t="n">
        <v>26</v>
      </c>
      <c r="N116" s="17" t="inlineStr">
        <is>
          <t>No</t>
        </is>
      </c>
      <c r="O116" s="17">
        <f>TEXT(G116,"yyyy-mm")</f>
        <v/>
      </c>
      <c r="P116" s="17">
        <f>IF(H116&lt;20,"Low",IF(H116&lt;=60,"Medium","High"))</f>
        <v/>
      </c>
      <c r="Q116" s="17">
        <f>IF(I116&gt;0,"Yes","No")</f>
        <v/>
      </c>
      <c r="R116" s="17">
        <f>IF(N116="Yes",1,0)</f>
        <v/>
      </c>
      <c r="S116" s="17">
        <f>IF(N116=IF(OR(H116&gt;150,I116&gt;40),"Yes","No"),"Match","Mismatch")</f>
        <v/>
      </c>
    </row>
    <row r="117">
      <c r="A117" s="17" t="inlineStr">
        <is>
          <t>S00136</t>
        </is>
      </c>
      <c r="B117" s="17" t="inlineStr">
        <is>
          <t>P7857</t>
        </is>
      </c>
      <c r="C117" s="17" t="inlineStr">
        <is>
          <t>griffithbilly</t>
        </is>
      </c>
      <c r="D117" s="17" t="inlineStr">
        <is>
          <t>Zombie Rush</t>
        </is>
      </c>
      <c r="E117" s="17" t="inlineStr">
        <is>
          <t>PC</t>
        </is>
      </c>
      <c r="F117" s="17" t="inlineStr">
        <is>
          <t>North</t>
        </is>
      </c>
      <c r="G117" s="18" t="n">
        <v>45679</v>
      </c>
      <c r="H117" s="17" t="n">
        <v>26</v>
      </c>
      <c r="I117" s="17" t="n">
        <v>23.57</v>
      </c>
      <c r="J117" s="17" t="inlineStr">
        <is>
          <t>Battle Pass</t>
        </is>
      </c>
      <c r="K117" s="17" t="inlineStr">
        <is>
          <t>Completed</t>
        </is>
      </c>
      <c r="L117" s="17" t="inlineStr">
        <is>
          <t>Paid</t>
        </is>
      </c>
      <c r="M117" s="17" t="n">
        <v>10</v>
      </c>
      <c r="N117" s="17" t="inlineStr">
        <is>
          <t>No</t>
        </is>
      </c>
      <c r="O117" s="17">
        <f>TEXT(G117,"yyyy-mm")</f>
        <v/>
      </c>
      <c r="P117" s="17">
        <f>IF(H117&lt;20,"Low",IF(H117&lt;=60,"Medium","High"))</f>
        <v/>
      </c>
      <c r="Q117" s="17">
        <f>IF(I117&gt;0,"Yes","No")</f>
        <v/>
      </c>
      <c r="R117" s="17">
        <f>IF(N117="Yes",1,0)</f>
        <v/>
      </c>
      <c r="S117" s="17">
        <f>IF(N117=IF(OR(H117&gt;150,I117&gt;40),"Yes","No"),"Match","Mismatch")</f>
        <v/>
      </c>
    </row>
    <row r="118">
      <c r="A118" s="17" t="inlineStr">
        <is>
          <t>S00227</t>
        </is>
      </c>
      <c r="B118" s="17" t="inlineStr">
        <is>
          <t>P9650</t>
        </is>
      </c>
      <c r="C118" s="17" t="inlineStr">
        <is>
          <t>lpowers</t>
        </is>
      </c>
      <c r="D118" s="17" t="inlineStr">
        <is>
          <t>Empire Wars</t>
        </is>
      </c>
      <c r="E118" s="17" t="inlineStr">
        <is>
          <t>Mobile</t>
        </is>
      </c>
      <c r="F118" s="17" t="inlineStr">
        <is>
          <t>South</t>
        </is>
      </c>
      <c r="G118" s="18" t="n">
        <v>45680</v>
      </c>
      <c r="H118" s="17" t="n">
        <v>132</v>
      </c>
      <c r="I118" s="17" t="n">
        <v>0</v>
      </c>
      <c r="J118" s="17" t="inlineStr">
        <is>
          <t>No Purchase</t>
        </is>
      </c>
      <c r="K118" s="17" t="inlineStr">
        <is>
          <t>Completed</t>
        </is>
      </c>
      <c r="L118" s="17" t="inlineStr">
        <is>
          <t>Paid</t>
        </is>
      </c>
      <c r="M118" s="17" t="n">
        <v>50</v>
      </c>
      <c r="N118" s="17" t="inlineStr">
        <is>
          <t>No</t>
        </is>
      </c>
      <c r="O118" s="17">
        <f>TEXT(G118,"yyyy-mm")</f>
        <v/>
      </c>
      <c r="P118" s="17">
        <f>IF(H118&lt;20,"Low",IF(H118&lt;=60,"Medium","High"))</f>
        <v/>
      </c>
      <c r="Q118" s="17">
        <f>IF(I118&gt;0,"Yes","No")</f>
        <v/>
      </c>
      <c r="R118" s="17">
        <f>IF(N118="Yes",1,0)</f>
        <v/>
      </c>
      <c r="S118" s="17">
        <f>IF(N118=IF(OR(H118&gt;150,I118&gt;40),"Yes","No"),"Match","Mismatch")</f>
        <v/>
      </c>
    </row>
    <row r="119">
      <c r="A119" s="17" t="inlineStr">
        <is>
          <t>S00265</t>
        </is>
      </c>
      <c r="B119" s="17" t="inlineStr">
        <is>
          <t>P2068</t>
        </is>
      </c>
      <c r="C119" s="17" t="inlineStr">
        <is>
          <t>vanessasmith</t>
        </is>
      </c>
      <c r="D119" s="17" t="inlineStr">
        <is>
          <t>SpeedX</t>
        </is>
      </c>
      <c r="E119" s="17" t="inlineStr">
        <is>
          <t>Mobile</t>
        </is>
      </c>
      <c r="F119" s="17" t="inlineStr">
        <is>
          <t>South</t>
        </is>
      </c>
      <c r="G119" s="18" t="n">
        <v>45680</v>
      </c>
      <c r="H119" s="17" t="n">
        <v>131</v>
      </c>
      <c r="I119" s="17" t="n">
        <v>0</v>
      </c>
      <c r="J119" s="17" t="inlineStr">
        <is>
          <t>No Purchase</t>
        </is>
      </c>
      <c r="K119" s="17" t="inlineStr">
        <is>
          <t>Crashed</t>
        </is>
      </c>
      <c r="L119" s="17" t="inlineStr">
        <is>
          <t>Free</t>
        </is>
      </c>
      <c r="M119" s="17" t="n">
        <v>3</v>
      </c>
      <c r="N119" s="17" t="inlineStr">
        <is>
          <t>No</t>
        </is>
      </c>
      <c r="O119" s="17">
        <f>TEXT(G119,"yyyy-mm")</f>
        <v/>
      </c>
      <c r="P119" s="17">
        <f>IF(H119&lt;20,"Low",IF(H119&lt;=60,"Medium","High"))</f>
        <v/>
      </c>
      <c r="Q119" s="17">
        <f>IF(I119&gt;0,"Yes","No")</f>
        <v/>
      </c>
      <c r="R119" s="17">
        <f>IF(N119="Yes",1,0)</f>
        <v/>
      </c>
      <c r="S119" s="17">
        <f>IF(N119=IF(OR(H119&gt;150,I119&gt;40),"Yes","No"),"Match","Mismatch")</f>
        <v/>
      </c>
    </row>
    <row r="120">
      <c r="A120" s="17" t="inlineStr">
        <is>
          <t>S00432</t>
        </is>
      </c>
      <c r="B120" s="17" t="inlineStr">
        <is>
          <t>P2427</t>
        </is>
      </c>
      <c r="C120" s="17" t="inlineStr">
        <is>
          <t>kacosta</t>
        </is>
      </c>
      <c r="D120" s="17" t="inlineStr">
        <is>
          <t>Zombie Rush</t>
        </is>
      </c>
      <c r="E120" s="17" t="inlineStr">
        <is>
          <t>PC</t>
        </is>
      </c>
      <c r="F120" s="17" t="inlineStr">
        <is>
          <t>Central</t>
        </is>
      </c>
      <c r="G120" s="18" t="n">
        <v>45680</v>
      </c>
      <c r="H120" s="17" t="n">
        <v>139</v>
      </c>
      <c r="I120" s="17" t="n">
        <v>0</v>
      </c>
      <c r="J120" s="17" t="inlineStr">
        <is>
          <t>No Purchase</t>
        </is>
      </c>
      <c r="K120" s="17" t="inlineStr">
        <is>
          <t>Completed</t>
        </is>
      </c>
      <c r="L120" s="17" t="inlineStr">
        <is>
          <t>Free</t>
        </is>
      </c>
      <c r="M120" s="17" t="n">
        <v>37</v>
      </c>
      <c r="N120" s="17" t="inlineStr">
        <is>
          <t>No</t>
        </is>
      </c>
      <c r="O120" s="17">
        <f>TEXT(G120,"yyyy-mm")</f>
        <v/>
      </c>
      <c r="P120" s="17">
        <f>IF(H120&lt;20,"Low",IF(H120&lt;=60,"Medium","High"))</f>
        <v/>
      </c>
      <c r="Q120" s="17">
        <f>IF(I120&gt;0,"Yes","No")</f>
        <v/>
      </c>
      <c r="R120" s="17">
        <f>IF(N120="Yes",1,0)</f>
        <v/>
      </c>
      <c r="S120" s="17">
        <f>IF(N120=IF(OR(H120&gt;150,I120&gt;40),"Yes","No"),"Match","Mismatch")</f>
        <v/>
      </c>
    </row>
    <row r="121">
      <c r="A121" s="17" t="inlineStr">
        <is>
          <t>S00247</t>
        </is>
      </c>
      <c r="B121" s="17" t="inlineStr">
        <is>
          <t>P3394</t>
        </is>
      </c>
      <c r="C121" s="17" t="inlineStr">
        <is>
          <t>moyerdanny</t>
        </is>
      </c>
      <c r="D121" s="17" t="inlineStr">
        <is>
          <t>SpeedX</t>
        </is>
      </c>
      <c r="E121" s="17" t="inlineStr">
        <is>
          <t>Mobile</t>
        </is>
      </c>
      <c r="F121" s="17" t="inlineStr">
        <is>
          <t>West</t>
        </is>
      </c>
      <c r="G121" s="18" t="n">
        <v>45680</v>
      </c>
      <c r="H121" s="17" t="n">
        <v>33</v>
      </c>
      <c r="I121" s="17" t="n">
        <v>0</v>
      </c>
      <c r="J121" s="17" t="inlineStr">
        <is>
          <t>No Purchase</t>
        </is>
      </c>
      <c r="K121" s="17" t="inlineStr">
        <is>
          <t>Completed</t>
        </is>
      </c>
      <c r="L121" s="17" t="inlineStr">
        <is>
          <t>Free</t>
        </is>
      </c>
      <c r="M121" s="17" t="n">
        <v>9</v>
      </c>
      <c r="N121" s="17" t="inlineStr">
        <is>
          <t>No</t>
        </is>
      </c>
      <c r="O121" s="17">
        <f>TEXT(G121,"yyyy-mm")</f>
        <v/>
      </c>
      <c r="P121" s="17">
        <f>IF(H121&lt;20,"Low",IF(H121&lt;=60,"Medium","High"))</f>
        <v/>
      </c>
      <c r="Q121" s="17">
        <f>IF(I121&gt;0,"Yes","No")</f>
        <v/>
      </c>
      <c r="R121" s="17">
        <f>IF(N121="Yes",1,0)</f>
        <v/>
      </c>
      <c r="S121" s="17">
        <f>IF(N121=IF(OR(H121&gt;150,I121&gt;40),"Yes","No"),"Match","Mismatch")</f>
        <v/>
      </c>
    </row>
    <row r="122">
      <c r="A122" s="17" t="inlineStr">
        <is>
          <t>S00017</t>
        </is>
      </c>
      <c r="B122" s="17" t="inlineStr">
        <is>
          <t>P5317</t>
        </is>
      </c>
      <c r="C122" s="17" t="inlineStr">
        <is>
          <t>xtaylor</t>
        </is>
      </c>
      <c r="D122" s="17" t="inlineStr">
        <is>
          <t>BattleZone</t>
        </is>
      </c>
      <c r="E122" s="17" t="inlineStr">
        <is>
          <t>PC</t>
        </is>
      </c>
      <c r="F122" s="17" t="inlineStr">
        <is>
          <t>East</t>
        </is>
      </c>
      <c r="G122" s="18" t="n">
        <v>45681</v>
      </c>
      <c r="H122" s="17" t="n">
        <v>128</v>
      </c>
      <c r="I122" s="17" t="n">
        <v>0</v>
      </c>
      <c r="J122" s="17" t="inlineStr">
        <is>
          <t>No Purchase</t>
        </is>
      </c>
      <c r="K122" s="17" t="inlineStr">
        <is>
          <t>Incomplete</t>
        </is>
      </c>
      <c r="L122" s="17" t="inlineStr">
        <is>
          <t>Free</t>
        </is>
      </c>
      <c r="M122" s="17" t="n">
        <v>7</v>
      </c>
      <c r="N122" s="17" t="inlineStr">
        <is>
          <t>No</t>
        </is>
      </c>
      <c r="O122" s="17">
        <f>TEXT(G122,"yyyy-mm")</f>
        <v/>
      </c>
      <c r="P122" s="17">
        <f>IF(H122&lt;20,"Low",IF(H122&lt;=60,"Medium","High"))</f>
        <v/>
      </c>
      <c r="Q122" s="17">
        <f>IF(I122&gt;0,"Yes","No")</f>
        <v/>
      </c>
      <c r="R122" s="17">
        <f>IF(N122="Yes",1,0)</f>
        <v/>
      </c>
      <c r="S122" s="17">
        <f>IF(N122=IF(OR(H122&gt;150,I122&gt;40),"Yes","No"),"Match","Mismatch")</f>
        <v/>
      </c>
    </row>
    <row r="123">
      <c r="A123" s="17" t="inlineStr">
        <is>
          <t>S00257</t>
        </is>
      </c>
      <c r="B123" s="17" t="inlineStr">
        <is>
          <t>P8958</t>
        </is>
      </c>
      <c r="C123" s="17" t="inlineStr">
        <is>
          <t>dunnmelissa</t>
        </is>
      </c>
      <c r="D123" s="17" t="inlineStr">
        <is>
          <t>Clash of Realms</t>
        </is>
      </c>
      <c r="E123" s="17" t="inlineStr">
        <is>
          <t>Mobile</t>
        </is>
      </c>
      <c r="F123" s="17" t="inlineStr">
        <is>
          <t>North</t>
        </is>
      </c>
      <c r="G123" s="18" t="n">
        <v>45681</v>
      </c>
      <c r="H123" s="17" t="n">
        <v>19</v>
      </c>
      <c r="I123" s="17" t="n">
        <v>0</v>
      </c>
      <c r="J123" s="17" t="inlineStr">
        <is>
          <t>No Purchase</t>
        </is>
      </c>
      <c r="K123" s="17" t="inlineStr">
        <is>
          <t>Completed</t>
        </is>
      </c>
      <c r="L123" s="17" t="inlineStr">
        <is>
          <t>Free</t>
        </is>
      </c>
      <c r="M123" s="17" t="n">
        <v>6</v>
      </c>
      <c r="N123" s="17" t="inlineStr">
        <is>
          <t>No</t>
        </is>
      </c>
      <c r="O123" s="17">
        <f>TEXT(G123,"yyyy-mm")</f>
        <v/>
      </c>
      <c r="P123" s="17">
        <f>IF(H123&lt;20,"Low",IF(H123&lt;=60,"Medium","High"))</f>
        <v/>
      </c>
      <c r="Q123" s="17">
        <f>IF(I123&gt;0,"Yes","No")</f>
        <v/>
      </c>
      <c r="R123" s="17">
        <f>IF(N123="Yes",1,0)</f>
        <v/>
      </c>
      <c r="S123" s="17">
        <f>IF(N123=IF(OR(H123&gt;150,I123&gt;40),"Yes","No"),"Match","Mismatch")</f>
        <v/>
      </c>
    </row>
    <row r="124">
      <c r="A124" s="17" t="inlineStr">
        <is>
          <t>S00070</t>
        </is>
      </c>
      <c r="B124" s="17" t="inlineStr">
        <is>
          <t>P6322</t>
        </is>
      </c>
      <c r="C124" s="17" t="inlineStr">
        <is>
          <t>noah21</t>
        </is>
      </c>
      <c r="D124" s="17" t="inlineStr">
        <is>
          <t>Clash of Realms</t>
        </is>
      </c>
      <c r="E124" s="17" t="inlineStr">
        <is>
          <t>PC</t>
        </is>
      </c>
      <c r="F124" s="17" t="inlineStr">
        <is>
          <t>West</t>
        </is>
      </c>
      <c r="G124" s="18" t="n">
        <v>45682</v>
      </c>
      <c r="H124" s="17" t="n">
        <v>79</v>
      </c>
      <c r="I124" s="17" t="n">
        <v>0</v>
      </c>
      <c r="J124" s="17" t="inlineStr">
        <is>
          <t>No Purchase</t>
        </is>
      </c>
      <c r="K124" s="17" t="inlineStr">
        <is>
          <t>Exited Early</t>
        </is>
      </c>
      <c r="L124" s="17" t="inlineStr">
        <is>
          <t>Free</t>
        </is>
      </c>
      <c r="M124" s="17" t="n">
        <v>18</v>
      </c>
      <c r="N124" s="17" t="inlineStr">
        <is>
          <t>No</t>
        </is>
      </c>
      <c r="O124" s="17">
        <f>TEXT(G124,"yyyy-mm")</f>
        <v/>
      </c>
      <c r="P124" s="17">
        <f>IF(H124&lt;20,"Low",IF(H124&lt;=60,"Medium","High"))</f>
        <v/>
      </c>
      <c r="Q124" s="17">
        <f>IF(I124&gt;0,"Yes","No")</f>
        <v/>
      </c>
      <c r="R124" s="17">
        <f>IF(N124="Yes",1,0)</f>
        <v/>
      </c>
      <c r="S124" s="17">
        <f>IF(N124=IF(OR(H124&gt;150,I124&gt;40),"Yes","No"),"Match","Mismatch")</f>
        <v/>
      </c>
    </row>
    <row r="125">
      <c r="A125" s="17" t="inlineStr">
        <is>
          <t>S00183</t>
        </is>
      </c>
      <c r="B125" s="17" t="inlineStr">
        <is>
          <t>P2506</t>
        </is>
      </c>
      <c r="C125" s="17" t="inlineStr">
        <is>
          <t>troberts</t>
        </is>
      </c>
      <c r="D125" s="17" t="inlineStr">
        <is>
          <t>BattleZone</t>
        </is>
      </c>
      <c r="E125" s="17" t="inlineStr">
        <is>
          <t>Console</t>
        </is>
      </c>
      <c r="F125" s="17" t="inlineStr">
        <is>
          <t>Central</t>
        </is>
      </c>
      <c r="G125" s="18" t="n">
        <v>45682</v>
      </c>
      <c r="H125" s="17" t="n">
        <v>56</v>
      </c>
      <c r="I125" s="17" t="n">
        <v>0</v>
      </c>
      <c r="J125" s="17" t="inlineStr">
        <is>
          <t>No Purchase</t>
        </is>
      </c>
      <c r="K125" s="17" t="inlineStr">
        <is>
          <t>Completed</t>
        </is>
      </c>
      <c r="L125" s="17" t="inlineStr">
        <is>
          <t>Free</t>
        </is>
      </c>
      <c r="M125" s="17" t="n">
        <v>1</v>
      </c>
      <c r="N125" s="17" t="inlineStr">
        <is>
          <t>No</t>
        </is>
      </c>
      <c r="O125" s="17">
        <f>TEXT(G125,"yyyy-mm")</f>
        <v/>
      </c>
      <c r="P125" s="17">
        <f>IF(H125&lt;20,"Low",IF(H125&lt;=60,"Medium","High"))</f>
        <v/>
      </c>
      <c r="Q125" s="17">
        <f>IF(I125&gt;0,"Yes","No")</f>
        <v/>
      </c>
      <c r="R125" s="17">
        <f>IF(N125="Yes",1,0)</f>
        <v/>
      </c>
      <c r="S125" s="17">
        <f>IF(N125=IF(OR(H125&gt;150,I125&gt;40),"Yes","No"),"Match","Mismatch")</f>
        <v/>
      </c>
    </row>
    <row r="126">
      <c r="A126" s="17" t="inlineStr">
        <is>
          <t>S00311</t>
        </is>
      </c>
      <c r="B126" s="17" t="inlineStr">
        <is>
          <t>P6038</t>
        </is>
      </c>
      <c r="C126" s="17" t="inlineStr">
        <is>
          <t>tbarker</t>
        </is>
      </c>
      <c r="D126" s="17" t="inlineStr">
        <is>
          <t>BattleZone</t>
        </is>
      </c>
      <c r="E126" s="17" t="inlineStr">
        <is>
          <t>Mobile</t>
        </is>
      </c>
      <c r="F126" s="17" t="inlineStr">
        <is>
          <t>North-East</t>
        </is>
      </c>
      <c r="G126" s="18" t="n">
        <v>45682</v>
      </c>
      <c r="H126" s="17" t="n">
        <v>81</v>
      </c>
      <c r="I126" s="17" t="n">
        <v>0</v>
      </c>
      <c r="J126" s="17" t="inlineStr">
        <is>
          <t>No Purchase</t>
        </is>
      </c>
      <c r="K126" s="17" t="inlineStr">
        <is>
          <t>Incomplete</t>
        </is>
      </c>
      <c r="L126" s="17" t="inlineStr">
        <is>
          <t>Free</t>
        </is>
      </c>
      <c r="M126" s="17" t="n">
        <v>21</v>
      </c>
      <c r="N126" s="17" t="inlineStr">
        <is>
          <t>No</t>
        </is>
      </c>
      <c r="O126" s="17">
        <f>TEXT(G126,"yyyy-mm")</f>
        <v/>
      </c>
      <c r="P126" s="17">
        <f>IF(H126&lt;20,"Low",IF(H126&lt;=60,"Medium","High"))</f>
        <v/>
      </c>
      <c r="Q126" s="17">
        <f>IF(I126&gt;0,"Yes","No")</f>
        <v/>
      </c>
      <c r="R126" s="17">
        <f>IF(N126="Yes",1,0)</f>
        <v/>
      </c>
      <c r="S126" s="17">
        <f>IF(N126=IF(OR(H126&gt;150,I126&gt;40),"Yes","No"),"Match","Mismatch")</f>
        <v/>
      </c>
    </row>
    <row r="127">
      <c r="A127" s="17" t="inlineStr">
        <is>
          <t>S00191</t>
        </is>
      </c>
      <c r="B127" s="17" t="inlineStr">
        <is>
          <t>P6734</t>
        </is>
      </c>
      <c r="C127" s="17" t="inlineStr">
        <is>
          <t>christine87</t>
        </is>
      </c>
      <c r="D127" s="17" t="inlineStr">
        <is>
          <t>BattleZone</t>
        </is>
      </c>
      <c r="E127" s="17" t="inlineStr">
        <is>
          <t>Mobile</t>
        </is>
      </c>
      <c r="F127" s="17" t="inlineStr">
        <is>
          <t>West</t>
        </is>
      </c>
      <c r="G127" s="18" t="n">
        <v>45682</v>
      </c>
      <c r="H127" s="17" t="n">
        <v>130</v>
      </c>
      <c r="I127" s="17" t="n">
        <v>0</v>
      </c>
      <c r="J127" s="17" t="inlineStr">
        <is>
          <t>No Purchase</t>
        </is>
      </c>
      <c r="K127" s="17" t="inlineStr">
        <is>
          <t>Completed</t>
        </is>
      </c>
      <c r="L127" s="17" t="inlineStr">
        <is>
          <t>Paid</t>
        </is>
      </c>
      <c r="M127" s="17" t="n">
        <v>8</v>
      </c>
      <c r="N127" s="17" t="inlineStr">
        <is>
          <t>No</t>
        </is>
      </c>
      <c r="O127" s="17">
        <f>TEXT(G127,"yyyy-mm")</f>
        <v/>
      </c>
      <c r="P127" s="17">
        <f>IF(H127&lt;20,"Low",IF(H127&lt;=60,"Medium","High"))</f>
        <v/>
      </c>
      <c r="Q127" s="17">
        <f>IF(I127&gt;0,"Yes","No")</f>
        <v/>
      </c>
      <c r="R127" s="17">
        <f>IF(N127="Yes",1,0)</f>
        <v/>
      </c>
      <c r="S127" s="17">
        <f>IF(N127=IF(OR(H127&gt;150,I127&gt;40),"Yes","No"),"Match","Mismatch")</f>
        <v/>
      </c>
    </row>
    <row r="128">
      <c r="A128" s="17" t="inlineStr">
        <is>
          <t>S00224</t>
        </is>
      </c>
      <c r="B128" s="17" t="inlineStr">
        <is>
          <t>P4744</t>
        </is>
      </c>
      <c r="C128" s="17" t="inlineStr">
        <is>
          <t>jeansmall</t>
        </is>
      </c>
      <c r="D128" s="17" t="inlineStr">
        <is>
          <t>Clash of Realms</t>
        </is>
      </c>
      <c r="E128" s="17" t="inlineStr">
        <is>
          <t>Mobile</t>
        </is>
      </c>
      <c r="F128" s="17" t="inlineStr">
        <is>
          <t>Central</t>
        </is>
      </c>
      <c r="G128" s="18" t="n">
        <v>45683</v>
      </c>
      <c r="H128" s="17" t="n">
        <v>113</v>
      </c>
      <c r="I128" s="17" t="n">
        <v>0</v>
      </c>
      <c r="J128" s="17" t="inlineStr">
        <is>
          <t>No Purchase</t>
        </is>
      </c>
      <c r="K128" s="17" t="inlineStr">
        <is>
          <t>Completed</t>
        </is>
      </c>
      <c r="L128" s="17" t="inlineStr">
        <is>
          <t>Free</t>
        </is>
      </c>
      <c r="M128" s="17" t="n">
        <v>46</v>
      </c>
      <c r="N128" s="17" t="inlineStr">
        <is>
          <t>No</t>
        </is>
      </c>
      <c r="O128" s="17">
        <f>TEXT(G128,"yyyy-mm")</f>
        <v/>
      </c>
      <c r="P128" s="17">
        <f>IF(H128&lt;20,"Low",IF(H128&lt;=60,"Medium","High"))</f>
        <v/>
      </c>
      <c r="Q128" s="17">
        <f>IF(I128&gt;0,"Yes","No")</f>
        <v/>
      </c>
      <c r="R128" s="17">
        <f>IF(N128="Yes",1,0)</f>
        <v/>
      </c>
      <c r="S128" s="17">
        <f>IF(N128=IF(OR(H128&gt;150,I128&gt;40),"Yes","No"),"Match","Mismatch")</f>
        <v/>
      </c>
    </row>
    <row r="129">
      <c r="A129" s="17" t="inlineStr">
        <is>
          <t>S00148</t>
        </is>
      </c>
      <c r="B129" s="17" t="inlineStr">
        <is>
          <t>P6441</t>
        </is>
      </c>
      <c r="C129" s="17" t="inlineStr">
        <is>
          <t>melissa77</t>
        </is>
      </c>
      <c r="D129" s="17" t="inlineStr">
        <is>
          <t>Empire Wars</t>
        </is>
      </c>
      <c r="E129" s="17" t="inlineStr">
        <is>
          <t>Console</t>
        </is>
      </c>
      <c r="F129" s="17" t="inlineStr">
        <is>
          <t>East</t>
        </is>
      </c>
      <c r="G129" s="18" t="n">
        <v>45683</v>
      </c>
      <c r="H129" s="17" t="n">
        <v>99</v>
      </c>
      <c r="I129" s="17" t="n">
        <v>0</v>
      </c>
      <c r="J129" s="17" t="inlineStr">
        <is>
          <t>No Purchase</t>
        </is>
      </c>
      <c r="K129" s="17" t="inlineStr">
        <is>
          <t>Completed</t>
        </is>
      </c>
      <c r="L129" s="17" t="inlineStr">
        <is>
          <t>Free</t>
        </is>
      </c>
      <c r="M129" s="17" t="n">
        <v>2</v>
      </c>
      <c r="N129" s="17" t="inlineStr">
        <is>
          <t>No</t>
        </is>
      </c>
      <c r="O129" s="17">
        <f>TEXT(G129,"yyyy-mm")</f>
        <v/>
      </c>
      <c r="P129" s="17">
        <f>IF(H129&lt;20,"Low",IF(H129&lt;=60,"Medium","High"))</f>
        <v/>
      </c>
      <c r="Q129" s="17">
        <f>IF(I129&gt;0,"Yes","No")</f>
        <v/>
      </c>
      <c r="R129" s="17">
        <f>IF(N129="Yes",1,0)</f>
        <v/>
      </c>
      <c r="S129" s="17">
        <f>IF(N129=IF(OR(H129&gt;150,I129&gt;40),"Yes","No"),"Match","Mismatch")</f>
        <v/>
      </c>
    </row>
    <row r="130">
      <c r="A130" s="17" t="inlineStr">
        <is>
          <t>S00222</t>
        </is>
      </c>
      <c r="B130" s="17" t="inlineStr">
        <is>
          <t>P9392</t>
        </is>
      </c>
      <c r="C130" s="17" t="inlineStr">
        <is>
          <t>scott81</t>
        </is>
      </c>
      <c r="D130" s="17" t="inlineStr">
        <is>
          <t>SpeedX</t>
        </is>
      </c>
      <c r="E130" s="17" t="inlineStr">
        <is>
          <t>PC</t>
        </is>
      </c>
      <c r="F130" s="17" t="inlineStr">
        <is>
          <t>East</t>
        </is>
      </c>
      <c r="G130" s="18" t="n">
        <v>45683</v>
      </c>
      <c r="H130" s="17" t="n">
        <v>80</v>
      </c>
      <c r="I130" s="17" t="n">
        <v>0</v>
      </c>
      <c r="J130" s="17" t="inlineStr">
        <is>
          <t>No Purchase</t>
        </is>
      </c>
      <c r="K130" s="17" t="inlineStr">
        <is>
          <t>Exited Early</t>
        </is>
      </c>
      <c r="L130" s="17" t="inlineStr">
        <is>
          <t>Free</t>
        </is>
      </c>
      <c r="M130" s="17" t="n">
        <v>39</v>
      </c>
      <c r="N130" s="17" t="inlineStr">
        <is>
          <t>No</t>
        </is>
      </c>
      <c r="O130" s="17">
        <f>TEXT(G130,"yyyy-mm")</f>
        <v/>
      </c>
      <c r="P130" s="17">
        <f>IF(H130&lt;20,"Low",IF(H130&lt;=60,"Medium","High"))</f>
        <v/>
      </c>
      <c r="Q130" s="17">
        <f>IF(I130&gt;0,"Yes","No")</f>
        <v/>
      </c>
      <c r="R130" s="17">
        <f>IF(N130="Yes",1,0)</f>
        <v/>
      </c>
      <c r="S130" s="17">
        <f>IF(N130=IF(OR(H130&gt;150,I130&gt;40),"Yes","No"),"Match","Mismatch")</f>
        <v/>
      </c>
    </row>
    <row r="131">
      <c r="A131" s="17" t="inlineStr">
        <is>
          <t>S00239</t>
        </is>
      </c>
      <c r="B131" s="17" t="inlineStr">
        <is>
          <t>P3944</t>
        </is>
      </c>
      <c r="C131" s="17" t="inlineStr">
        <is>
          <t>zthomas</t>
        </is>
      </c>
      <c r="D131" s="17" t="inlineStr">
        <is>
          <t>SpeedX</t>
        </is>
      </c>
      <c r="E131" s="17" t="inlineStr">
        <is>
          <t>Mobile</t>
        </is>
      </c>
      <c r="F131" s="17" t="inlineStr">
        <is>
          <t>South</t>
        </is>
      </c>
      <c r="G131" s="18" t="n">
        <v>45684</v>
      </c>
      <c r="H131" s="17" t="n">
        <v>112</v>
      </c>
      <c r="I131" s="17" t="n">
        <v>2.26</v>
      </c>
      <c r="J131" s="17" t="inlineStr">
        <is>
          <t>Subscriptions</t>
        </is>
      </c>
      <c r="K131" s="17" t="inlineStr">
        <is>
          <t>Completed</t>
        </is>
      </c>
      <c r="L131" s="17" t="inlineStr">
        <is>
          <t>Paid</t>
        </is>
      </c>
      <c r="M131" s="17" t="n">
        <v>22</v>
      </c>
      <c r="N131" s="17" t="inlineStr">
        <is>
          <t>No</t>
        </is>
      </c>
      <c r="O131" s="17">
        <f>TEXT(G131,"yyyy-mm")</f>
        <v/>
      </c>
      <c r="P131" s="17">
        <f>IF(H131&lt;20,"Low",IF(H131&lt;=60,"Medium","High"))</f>
        <v/>
      </c>
      <c r="Q131" s="17">
        <f>IF(I131&gt;0,"Yes","No")</f>
        <v/>
      </c>
      <c r="R131" s="17">
        <f>IF(N131="Yes",1,0)</f>
        <v/>
      </c>
      <c r="S131" s="17">
        <f>IF(N131=IF(OR(H131&gt;150,I131&gt;40),"Yes","No"),"Match","Mismatch")</f>
        <v/>
      </c>
    </row>
    <row r="132">
      <c r="A132" s="17" t="inlineStr">
        <is>
          <t>S00430</t>
        </is>
      </c>
      <c r="B132" s="17" t="inlineStr">
        <is>
          <t>P8542</t>
        </is>
      </c>
      <c r="C132" s="17" t="inlineStr">
        <is>
          <t>brian05</t>
        </is>
      </c>
      <c r="D132" s="17" t="inlineStr">
        <is>
          <t>Empire Wars</t>
        </is>
      </c>
      <c r="E132" s="17" t="inlineStr">
        <is>
          <t>Mobile</t>
        </is>
      </c>
      <c r="F132" s="17" t="inlineStr">
        <is>
          <t>East</t>
        </is>
      </c>
      <c r="G132" s="18" t="n">
        <v>45684</v>
      </c>
      <c r="H132" s="17" t="n">
        <v>156</v>
      </c>
      <c r="I132" s="17" t="n">
        <v>0</v>
      </c>
      <c r="J132" s="17" t="inlineStr">
        <is>
          <t>No Purchase</t>
        </is>
      </c>
      <c r="K132" s="17" t="inlineStr">
        <is>
          <t>Completed</t>
        </is>
      </c>
      <c r="L132" s="17" t="inlineStr">
        <is>
          <t>Free</t>
        </is>
      </c>
      <c r="M132" s="17" t="n">
        <v>6</v>
      </c>
      <c r="N132" s="17" t="inlineStr">
        <is>
          <t>Yes</t>
        </is>
      </c>
      <c r="O132" s="17">
        <f>TEXT(G132,"yyyy-mm")</f>
        <v/>
      </c>
      <c r="P132" s="17">
        <f>IF(H132&lt;20,"Low",IF(H132&lt;=60,"Medium","High"))</f>
        <v/>
      </c>
      <c r="Q132" s="17">
        <f>IF(I132&gt;0,"Yes","No")</f>
        <v/>
      </c>
      <c r="R132" s="17">
        <f>IF(N132="Yes",1,0)</f>
        <v/>
      </c>
      <c r="S132" s="17">
        <f>IF(N132=IF(OR(H132&gt;150,I132&gt;40),"Yes","No"),"Match","Mismatch")</f>
        <v/>
      </c>
    </row>
    <row r="133">
      <c r="A133" s="17" t="inlineStr">
        <is>
          <t>S00249</t>
        </is>
      </c>
      <c r="B133" s="17" t="inlineStr">
        <is>
          <t>P3780</t>
        </is>
      </c>
      <c r="C133" s="17" t="inlineStr">
        <is>
          <t>zacharygonzales</t>
        </is>
      </c>
      <c r="D133" s="17" t="inlineStr">
        <is>
          <t>Clash of Realms</t>
        </is>
      </c>
      <c r="E133" s="17" t="inlineStr">
        <is>
          <t>PC</t>
        </is>
      </c>
      <c r="F133" s="17" t="inlineStr">
        <is>
          <t>West</t>
        </is>
      </c>
      <c r="G133" s="18" t="n">
        <v>45684</v>
      </c>
      <c r="H133" s="17" t="n">
        <v>36</v>
      </c>
      <c r="I133" s="17" t="n">
        <v>0</v>
      </c>
      <c r="J133" s="17" t="inlineStr">
        <is>
          <t>No Purchase</t>
        </is>
      </c>
      <c r="K133" s="17" t="inlineStr">
        <is>
          <t>Completed</t>
        </is>
      </c>
      <c r="L133" s="17" t="inlineStr">
        <is>
          <t>Free</t>
        </is>
      </c>
      <c r="M133" s="17" t="n">
        <v>36</v>
      </c>
      <c r="N133" s="17" t="inlineStr">
        <is>
          <t>No</t>
        </is>
      </c>
      <c r="O133" s="17">
        <f>TEXT(G133,"yyyy-mm")</f>
        <v/>
      </c>
      <c r="P133" s="17">
        <f>IF(H133&lt;20,"Low",IF(H133&lt;=60,"Medium","High"))</f>
        <v/>
      </c>
      <c r="Q133" s="17">
        <f>IF(I133&gt;0,"Yes","No")</f>
        <v/>
      </c>
      <c r="R133" s="17">
        <f>IF(N133="Yes",1,0)</f>
        <v/>
      </c>
      <c r="S133" s="17">
        <f>IF(N133=IF(OR(H133&gt;150,I133&gt;40),"Yes","No"),"Match","Mismatch")</f>
        <v/>
      </c>
    </row>
    <row r="134">
      <c r="A134" s="17" t="inlineStr">
        <is>
          <t>S00384</t>
        </is>
      </c>
      <c r="B134" s="17" t="inlineStr">
        <is>
          <t>P6967</t>
        </is>
      </c>
      <c r="C134" s="17" t="inlineStr">
        <is>
          <t>zvargas</t>
        </is>
      </c>
      <c r="D134" s="17" t="inlineStr">
        <is>
          <t>SpeedX</t>
        </is>
      </c>
      <c r="E134" s="17" t="inlineStr">
        <is>
          <t>Mobile</t>
        </is>
      </c>
      <c r="F134" s="17" t="inlineStr">
        <is>
          <t>East</t>
        </is>
      </c>
      <c r="G134" s="18" t="n">
        <v>45684</v>
      </c>
      <c r="H134" s="17" t="n">
        <v>79</v>
      </c>
      <c r="I134" s="17" t="n">
        <v>0</v>
      </c>
      <c r="J134" s="17" t="inlineStr">
        <is>
          <t>No Purchase</t>
        </is>
      </c>
      <c r="K134" s="17" t="inlineStr">
        <is>
          <t>Completed</t>
        </is>
      </c>
      <c r="L134" s="17" t="inlineStr">
        <is>
          <t>Free</t>
        </is>
      </c>
      <c r="M134" s="17" t="n">
        <v>48</v>
      </c>
      <c r="N134" s="17" t="inlineStr">
        <is>
          <t>No</t>
        </is>
      </c>
      <c r="O134" s="17">
        <f>TEXT(G134,"yyyy-mm")</f>
        <v/>
      </c>
      <c r="P134" s="17">
        <f>IF(H134&lt;20,"Low",IF(H134&lt;=60,"Medium","High"))</f>
        <v/>
      </c>
      <c r="Q134" s="17">
        <f>IF(I134&gt;0,"Yes","No")</f>
        <v/>
      </c>
      <c r="R134" s="17">
        <f>IF(N134="Yes",1,0)</f>
        <v/>
      </c>
      <c r="S134" s="17">
        <f>IF(N134=IF(OR(H134&gt;150,I134&gt;40),"Yes","No"),"Match","Mismatch")</f>
        <v/>
      </c>
    </row>
    <row r="135">
      <c r="A135" s="17" t="inlineStr">
        <is>
          <t>S00258</t>
        </is>
      </c>
      <c r="B135" s="17" t="inlineStr">
        <is>
          <t>P1212</t>
        </is>
      </c>
      <c r="C135" s="17" t="inlineStr">
        <is>
          <t>hporter</t>
        </is>
      </c>
      <c r="D135" s="17" t="inlineStr">
        <is>
          <t>Zombie Rush</t>
        </is>
      </c>
      <c r="E135" s="17" t="inlineStr">
        <is>
          <t>Mobile</t>
        </is>
      </c>
      <c r="F135" s="17" t="inlineStr">
        <is>
          <t>South</t>
        </is>
      </c>
      <c r="G135" s="18" t="n">
        <v>45684</v>
      </c>
      <c r="H135" s="17" t="n">
        <v>142</v>
      </c>
      <c r="I135" s="17" t="n">
        <v>8.640000000000001</v>
      </c>
      <c r="J135" s="17" t="inlineStr">
        <is>
          <t>Boosters</t>
        </is>
      </c>
      <c r="K135" s="17" t="inlineStr">
        <is>
          <t>Crashed</t>
        </is>
      </c>
      <c r="L135" s="17" t="inlineStr">
        <is>
          <t>Paid</t>
        </is>
      </c>
      <c r="M135" s="17" t="n">
        <v>25</v>
      </c>
      <c r="N135" s="17" t="inlineStr">
        <is>
          <t>No</t>
        </is>
      </c>
      <c r="O135" s="17">
        <f>TEXT(G135,"yyyy-mm")</f>
        <v/>
      </c>
      <c r="P135" s="17">
        <f>IF(H135&lt;20,"Low",IF(H135&lt;=60,"Medium","High"))</f>
        <v/>
      </c>
      <c r="Q135" s="17">
        <f>IF(I135&gt;0,"Yes","No")</f>
        <v/>
      </c>
      <c r="R135" s="17">
        <f>IF(N135="Yes",1,0)</f>
        <v/>
      </c>
      <c r="S135" s="17">
        <f>IF(N135=IF(OR(H135&gt;150,I135&gt;40),"Yes","No"),"Match","Mismatch")</f>
        <v/>
      </c>
    </row>
    <row r="136">
      <c r="A136" s="17" t="inlineStr">
        <is>
          <t>S00018</t>
        </is>
      </c>
      <c r="B136" s="17" t="inlineStr">
        <is>
          <t>P5320</t>
        </is>
      </c>
      <c r="C136" s="17" t="inlineStr">
        <is>
          <t>aguilarjennifer</t>
        </is>
      </c>
      <c r="D136" s="17" t="inlineStr">
        <is>
          <t>Empire Wars</t>
        </is>
      </c>
      <c r="E136" s="17" t="inlineStr">
        <is>
          <t>Console</t>
        </is>
      </c>
      <c r="F136" s="17" t="inlineStr">
        <is>
          <t>North-East</t>
        </is>
      </c>
      <c r="G136" s="18" t="n">
        <v>45685</v>
      </c>
      <c r="H136" s="17" t="n">
        <v>173</v>
      </c>
      <c r="I136" s="17" t="n">
        <v>0</v>
      </c>
      <c r="J136" s="17" t="inlineStr">
        <is>
          <t>No Purchase</t>
        </is>
      </c>
      <c r="K136" s="17" t="inlineStr">
        <is>
          <t>Exited Early</t>
        </is>
      </c>
      <c r="L136" s="17" t="inlineStr">
        <is>
          <t>Free</t>
        </is>
      </c>
      <c r="M136" s="17" t="n">
        <v>30</v>
      </c>
      <c r="N136" s="17" t="inlineStr">
        <is>
          <t>Yes</t>
        </is>
      </c>
      <c r="O136" s="17">
        <f>TEXT(G136,"yyyy-mm")</f>
        <v/>
      </c>
      <c r="P136" s="17">
        <f>IF(H136&lt;20,"Low",IF(H136&lt;=60,"Medium","High"))</f>
        <v/>
      </c>
      <c r="Q136" s="17">
        <f>IF(I136&gt;0,"Yes","No")</f>
        <v/>
      </c>
      <c r="R136" s="17">
        <f>IF(N136="Yes",1,0)</f>
        <v/>
      </c>
      <c r="S136" s="17">
        <f>IF(N136=IF(OR(H136&gt;150,I136&gt;40),"Yes","No"),"Match","Mismatch")</f>
        <v/>
      </c>
    </row>
    <row r="137">
      <c r="A137" s="17" t="inlineStr">
        <is>
          <t>S00142</t>
        </is>
      </c>
      <c r="B137" s="17" t="inlineStr">
        <is>
          <t>P7235</t>
        </is>
      </c>
      <c r="C137" s="17" t="inlineStr">
        <is>
          <t>reedchad</t>
        </is>
      </c>
      <c r="D137" s="17" t="inlineStr">
        <is>
          <t>Clash of Realms</t>
        </is>
      </c>
      <c r="E137" s="17" t="inlineStr">
        <is>
          <t>PC</t>
        </is>
      </c>
      <c r="F137" s="17" t="inlineStr">
        <is>
          <t>West</t>
        </is>
      </c>
      <c r="G137" s="18" t="n">
        <v>45685</v>
      </c>
      <c r="H137" s="17" t="n">
        <v>106</v>
      </c>
      <c r="I137" s="17" t="n">
        <v>0</v>
      </c>
      <c r="J137" s="17" t="inlineStr">
        <is>
          <t>No Purchase</t>
        </is>
      </c>
      <c r="K137" s="17" t="inlineStr">
        <is>
          <t>Completed</t>
        </is>
      </c>
      <c r="L137" s="17" t="inlineStr">
        <is>
          <t>Free</t>
        </is>
      </c>
      <c r="M137" s="17" t="n">
        <v>15</v>
      </c>
      <c r="N137" s="17" t="inlineStr">
        <is>
          <t>No</t>
        </is>
      </c>
      <c r="O137" s="17">
        <f>TEXT(G137,"yyyy-mm")</f>
        <v/>
      </c>
      <c r="P137" s="17">
        <f>IF(H137&lt;20,"Low",IF(H137&lt;=60,"Medium","High"))</f>
        <v/>
      </c>
      <c r="Q137" s="17">
        <f>IF(I137&gt;0,"Yes","No")</f>
        <v/>
      </c>
      <c r="R137" s="17">
        <f>IF(N137="Yes",1,0)</f>
        <v/>
      </c>
      <c r="S137" s="17">
        <f>IF(N137=IF(OR(H137&gt;150,I137&gt;40),"Yes","No"),"Match","Mismatch")</f>
        <v/>
      </c>
    </row>
    <row r="138">
      <c r="A138" s="17" t="inlineStr">
        <is>
          <t>S00106</t>
        </is>
      </c>
      <c r="B138" s="17" t="inlineStr">
        <is>
          <t>P8823</t>
        </is>
      </c>
      <c r="C138" s="17" t="inlineStr">
        <is>
          <t>blakewallace</t>
        </is>
      </c>
      <c r="D138" s="17" t="inlineStr">
        <is>
          <t>BattleZone</t>
        </is>
      </c>
      <c r="E138" s="17" t="inlineStr">
        <is>
          <t>Mobile</t>
        </is>
      </c>
      <c r="F138" s="17" t="inlineStr">
        <is>
          <t>Central</t>
        </is>
      </c>
      <c r="G138" s="18" t="n">
        <v>45685</v>
      </c>
      <c r="H138" s="17" t="n">
        <v>101</v>
      </c>
      <c r="I138" s="17" t="n">
        <v>0</v>
      </c>
      <c r="J138" s="17" t="inlineStr">
        <is>
          <t>No Purchase</t>
        </is>
      </c>
      <c r="K138" s="17" t="inlineStr">
        <is>
          <t>Completed</t>
        </is>
      </c>
      <c r="L138" s="17" t="inlineStr">
        <is>
          <t>Free</t>
        </is>
      </c>
      <c r="M138" s="17" t="n">
        <v>6</v>
      </c>
      <c r="N138" s="17" t="inlineStr">
        <is>
          <t>No</t>
        </is>
      </c>
      <c r="O138" s="17">
        <f>TEXT(G138,"yyyy-mm")</f>
        <v/>
      </c>
      <c r="P138" s="17">
        <f>IF(H138&lt;20,"Low",IF(H138&lt;=60,"Medium","High"))</f>
        <v/>
      </c>
      <c r="Q138" s="17">
        <f>IF(I138&gt;0,"Yes","No")</f>
        <v/>
      </c>
      <c r="R138" s="17">
        <f>IF(N138="Yes",1,0)</f>
        <v/>
      </c>
      <c r="S138" s="17">
        <f>IF(N138=IF(OR(H138&gt;150,I138&gt;40),"Yes","No"),"Match","Mismatch")</f>
        <v/>
      </c>
    </row>
    <row r="139">
      <c r="A139" s="17" t="inlineStr">
        <is>
          <t>S00395</t>
        </is>
      </c>
      <c r="B139" s="17" t="inlineStr">
        <is>
          <t>P8926</t>
        </is>
      </c>
      <c r="C139" s="17" t="inlineStr">
        <is>
          <t>ftyler</t>
        </is>
      </c>
      <c r="D139" s="17" t="inlineStr">
        <is>
          <t>Empire Wars</t>
        </is>
      </c>
      <c r="E139" s="17" t="inlineStr">
        <is>
          <t>Console</t>
        </is>
      </c>
      <c r="F139" s="17" t="inlineStr">
        <is>
          <t>West</t>
        </is>
      </c>
      <c r="G139" s="18" t="n">
        <v>45685</v>
      </c>
      <c r="H139" s="17" t="n">
        <v>57</v>
      </c>
      <c r="I139" s="17" t="n">
        <v>0</v>
      </c>
      <c r="J139" s="17" t="inlineStr">
        <is>
          <t>No Purchase</t>
        </is>
      </c>
      <c r="K139" s="17" t="inlineStr">
        <is>
          <t>Completed</t>
        </is>
      </c>
      <c r="L139" s="17" t="inlineStr">
        <is>
          <t>Free</t>
        </is>
      </c>
      <c r="M139" s="17" t="n">
        <v>1</v>
      </c>
      <c r="N139" s="17" t="inlineStr">
        <is>
          <t>No</t>
        </is>
      </c>
      <c r="O139" s="17">
        <f>TEXT(G139,"yyyy-mm")</f>
        <v/>
      </c>
      <c r="P139" s="17">
        <f>IF(H139&lt;20,"Low",IF(H139&lt;=60,"Medium","High"))</f>
        <v/>
      </c>
      <c r="Q139" s="17">
        <f>IF(I139&gt;0,"Yes","No")</f>
        <v/>
      </c>
      <c r="R139" s="17">
        <f>IF(N139="Yes",1,0)</f>
        <v/>
      </c>
      <c r="S139" s="17">
        <f>IF(N139=IF(OR(H139&gt;150,I139&gt;40),"Yes","No"),"Match","Mismatch")</f>
        <v/>
      </c>
    </row>
    <row r="140">
      <c r="A140" s="17" t="inlineStr">
        <is>
          <t>S00126</t>
        </is>
      </c>
      <c r="B140" s="17" t="inlineStr">
        <is>
          <t>P8062</t>
        </is>
      </c>
      <c r="C140" s="17" t="inlineStr">
        <is>
          <t>chambersnicole</t>
        </is>
      </c>
      <c r="D140" s="17" t="inlineStr">
        <is>
          <t>Zombie Rush</t>
        </is>
      </c>
      <c r="E140" s="17" t="inlineStr">
        <is>
          <t>Mobile</t>
        </is>
      </c>
      <c r="F140" s="17" t="inlineStr">
        <is>
          <t>East</t>
        </is>
      </c>
      <c r="G140" s="18" t="n">
        <v>45686</v>
      </c>
      <c r="H140" s="17" t="n">
        <v>46</v>
      </c>
      <c r="I140" s="17" t="n">
        <v>14.47</v>
      </c>
      <c r="J140" s="17" t="inlineStr">
        <is>
          <t>Boosters</t>
        </is>
      </c>
      <c r="K140" s="17" t="inlineStr">
        <is>
          <t>Exited Early</t>
        </is>
      </c>
      <c r="L140" s="17" t="inlineStr">
        <is>
          <t>Paid</t>
        </is>
      </c>
      <c r="M140" s="17" t="n">
        <v>30</v>
      </c>
      <c r="N140" s="17" t="inlineStr">
        <is>
          <t>No</t>
        </is>
      </c>
      <c r="O140" s="17">
        <f>TEXT(G140,"yyyy-mm")</f>
        <v/>
      </c>
      <c r="P140" s="17">
        <f>IF(H140&lt;20,"Low",IF(H140&lt;=60,"Medium","High"))</f>
        <v/>
      </c>
      <c r="Q140" s="17">
        <f>IF(I140&gt;0,"Yes","No")</f>
        <v/>
      </c>
      <c r="R140" s="17">
        <f>IF(N140="Yes",1,0)</f>
        <v/>
      </c>
      <c r="S140" s="17">
        <f>IF(N140=IF(OR(H140&gt;150,I140&gt;40),"Yes","No"),"Match","Mismatch")</f>
        <v/>
      </c>
    </row>
    <row r="141">
      <c r="A141" s="17" t="inlineStr">
        <is>
          <t>S00211</t>
        </is>
      </c>
      <c r="B141" s="17" t="inlineStr">
        <is>
          <t>P6523</t>
        </is>
      </c>
      <c r="C141" s="17" t="inlineStr">
        <is>
          <t>edwardsjohn</t>
        </is>
      </c>
      <c r="D141" s="17" t="inlineStr">
        <is>
          <t>Zombie Rush</t>
        </is>
      </c>
      <c r="E141" s="17" t="inlineStr">
        <is>
          <t>Console</t>
        </is>
      </c>
      <c r="F141" s="17" t="inlineStr">
        <is>
          <t>West</t>
        </is>
      </c>
      <c r="G141" s="18" t="n">
        <v>45686</v>
      </c>
      <c r="H141" s="17" t="n">
        <v>47</v>
      </c>
      <c r="I141" s="17" t="n">
        <v>8.609999999999999</v>
      </c>
      <c r="J141" s="17" t="inlineStr">
        <is>
          <t>Subscriptions</t>
        </is>
      </c>
      <c r="K141" s="17" t="inlineStr">
        <is>
          <t>Completed</t>
        </is>
      </c>
      <c r="L141" s="17" t="inlineStr">
        <is>
          <t>Paid</t>
        </is>
      </c>
      <c r="M141" s="17" t="n">
        <v>1</v>
      </c>
      <c r="N141" s="17" t="inlineStr">
        <is>
          <t>No</t>
        </is>
      </c>
      <c r="O141" s="17">
        <f>TEXT(G141,"yyyy-mm")</f>
        <v/>
      </c>
      <c r="P141" s="17">
        <f>IF(H141&lt;20,"Low",IF(H141&lt;=60,"Medium","High"))</f>
        <v/>
      </c>
      <c r="Q141" s="17">
        <f>IF(I141&gt;0,"Yes","No")</f>
        <v/>
      </c>
      <c r="R141" s="17">
        <f>IF(N141="Yes",1,0)</f>
        <v/>
      </c>
      <c r="S141" s="17">
        <f>IF(N141=IF(OR(H141&gt;150,I141&gt;40),"Yes","No"),"Match","Mismatch")</f>
        <v/>
      </c>
    </row>
    <row r="142">
      <c r="A142" s="17" t="inlineStr">
        <is>
          <t>S00198</t>
        </is>
      </c>
      <c r="B142" s="17" t="inlineStr">
        <is>
          <t>P7656</t>
        </is>
      </c>
      <c r="C142" s="17" t="inlineStr">
        <is>
          <t>nrichmond</t>
        </is>
      </c>
      <c r="D142" s="17" t="inlineStr">
        <is>
          <t>Empire Wars</t>
        </is>
      </c>
      <c r="E142" s="17" t="inlineStr">
        <is>
          <t>Console</t>
        </is>
      </c>
      <c r="F142" s="17" t="inlineStr">
        <is>
          <t>South</t>
        </is>
      </c>
      <c r="G142" s="18" t="n">
        <v>45687</v>
      </c>
      <c r="H142" s="17" t="n">
        <v>45</v>
      </c>
      <c r="I142" s="17" t="n">
        <v>0</v>
      </c>
      <c r="J142" s="17" t="inlineStr">
        <is>
          <t>No Purchase</t>
        </is>
      </c>
      <c r="K142" s="17" t="inlineStr">
        <is>
          <t>Completed</t>
        </is>
      </c>
      <c r="L142" s="17" t="inlineStr">
        <is>
          <t>Free</t>
        </is>
      </c>
      <c r="M142" s="17" t="n">
        <v>24</v>
      </c>
      <c r="N142" s="17" t="inlineStr">
        <is>
          <t>No</t>
        </is>
      </c>
      <c r="O142" s="17">
        <f>TEXT(G142,"yyyy-mm")</f>
        <v/>
      </c>
      <c r="P142" s="17">
        <f>IF(H142&lt;20,"Low",IF(H142&lt;=60,"Medium","High"))</f>
        <v/>
      </c>
      <c r="Q142" s="17">
        <f>IF(I142&gt;0,"Yes","No")</f>
        <v/>
      </c>
      <c r="R142" s="17">
        <f>IF(N142="Yes",1,0)</f>
        <v/>
      </c>
      <c r="S142" s="17">
        <f>IF(N142=IF(OR(H142&gt;150,I142&gt;40),"Yes","No"),"Match","Mismatch")</f>
        <v/>
      </c>
    </row>
    <row r="143">
      <c r="A143" s="17" t="inlineStr">
        <is>
          <t>S00226</t>
        </is>
      </c>
      <c r="B143" s="17" t="inlineStr">
        <is>
          <t>P7147</t>
        </is>
      </c>
      <c r="C143" s="17" t="inlineStr">
        <is>
          <t>jayroberts</t>
        </is>
      </c>
      <c r="D143" s="17" t="inlineStr">
        <is>
          <t>BattleZone</t>
        </is>
      </c>
      <c r="E143" s="17" t="inlineStr">
        <is>
          <t>Console</t>
        </is>
      </c>
      <c r="F143" s="17" t="inlineStr">
        <is>
          <t>West</t>
        </is>
      </c>
      <c r="G143" s="18" t="n">
        <v>45688</v>
      </c>
      <c r="H143" s="17" t="n">
        <v>71</v>
      </c>
      <c r="I143" s="17" t="n">
        <v>0</v>
      </c>
      <c r="J143" s="17" t="inlineStr">
        <is>
          <t>No Purchase</t>
        </is>
      </c>
      <c r="K143" s="17" t="inlineStr">
        <is>
          <t>Completed</t>
        </is>
      </c>
      <c r="L143" s="17" t="inlineStr">
        <is>
          <t>Free</t>
        </is>
      </c>
      <c r="M143" s="17" t="n">
        <v>37</v>
      </c>
      <c r="N143" s="17" t="inlineStr">
        <is>
          <t>No</t>
        </is>
      </c>
      <c r="O143" s="17">
        <f>TEXT(G143,"yyyy-mm")</f>
        <v/>
      </c>
      <c r="P143" s="17">
        <f>IF(H143&lt;20,"Low",IF(H143&lt;=60,"Medium","High"))</f>
        <v/>
      </c>
      <c r="Q143" s="17">
        <f>IF(I143&gt;0,"Yes","No")</f>
        <v/>
      </c>
      <c r="R143" s="17">
        <f>IF(N143="Yes",1,0)</f>
        <v/>
      </c>
      <c r="S143" s="17">
        <f>IF(N143=IF(OR(H143&gt;150,I143&gt;40),"Yes","No"),"Match","Mismatch")</f>
        <v/>
      </c>
    </row>
    <row r="144">
      <c r="A144" s="17" t="inlineStr">
        <is>
          <t>S00216</t>
        </is>
      </c>
      <c r="B144" s="17" t="inlineStr">
        <is>
          <t>P2461</t>
        </is>
      </c>
      <c r="C144" s="17" t="inlineStr">
        <is>
          <t>michelle54</t>
        </is>
      </c>
      <c r="D144" s="17" t="inlineStr">
        <is>
          <t>Zombie Rush</t>
        </is>
      </c>
      <c r="E144" s="17" t="inlineStr">
        <is>
          <t>Console</t>
        </is>
      </c>
      <c r="F144" s="17" t="inlineStr">
        <is>
          <t>West</t>
        </is>
      </c>
      <c r="G144" s="18" t="n">
        <v>45688</v>
      </c>
      <c r="H144" s="17" t="n">
        <v>34</v>
      </c>
      <c r="I144" s="17" t="n">
        <v>0</v>
      </c>
      <c r="J144" s="17" t="inlineStr">
        <is>
          <t>No Purchase</t>
        </is>
      </c>
      <c r="K144" s="17" t="inlineStr">
        <is>
          <t>Completed</t>
        </is>
      </c>
      <c r="L144" s="17" t="inlineStr">
        <is>
          <t>Free</t>
        </is>
      </c>
      <c r="M144" s="17" t="n">
        <v>50</v>
      </c>
      <c r="N144" s="17" t="inlineStr">
        <is>
          <t>No</t>
        </is>
      </c>
      <c r="O144" s="17">
        <f>TEXT(G144,"yyyy-mm")</f>
        <v/>
      </c>
      <c r="P144" s="17">
        <f>IF(H144&lt;20,"Low",IF(H144&lt;=60,"Medium","High"))</f>
        <v/>
      </c>
      <c r="Q144" s="17">
        <f>IF(I144&gt;0,"Yes","No")</f>
        <v/>
      </c>
      <c r="R144" s="17">
        <f>IF(N144="Yes",1,0)</f>
        <v/>
      </c>
      <c r="S144" s="17">
        <f>IF(N144=IF(OR(H144&gt;150,I144&gt;40),"Yes","No"),"Match","Mismatch")</f>
        <v/>
      </c>
    </row>
    <row r="145">
      <c r="A145" s="17" t="inlineStr">
        <is>
          <t>S00215</t>
        </is>
      </c>
      <c r="B145" s="17" t="inlineStr">
        <is>
          <t>P2904</t>
        </is>
      </c>
      <c r="C145" s="17" t="inlineStr">
        <is>
          <t>william77</t>
        </is>
      </c>
      <c r="D145" s="17" t="inlineStr">
        <is>
          <t>Clash of Realms</t>
        </is>
      </c>
      <c r="E145" s="17" t="inlineStr">
        <is>
          <t>PC</t>
        </is>
      </c>
      <c r="F145" s="17" t="inlineStr">
        <is>
          <t>Central</t>
        </is>
      </c>
      <c r="G145" s="18" t="n">
        <v>45688</v>
      </c>
      <c r="H145" s="17" t="n">
        <v>147</v>
      </c>
      <c r="I145" s="17" t="n">
        <v>0</v>
      </c>
      <c r="J145" s="17" t="inlineStr">
        <is>
          <t>No Purchase</t>
        </is>
      </c>
      <c r="K145" s="17" t="inlineStr">
        <is>
          <t>Completed</t>
        </is>
      </c>
      <c r="L145" s="17" t="inlineStr">
        <is>
          <t>Free</t>
        </is>
      </c>
      <c r="M145" s="17" t="n">
        <v>48</v>
      </c>
      <c r="N145" s="17" t="inlineStr">
        <is>
          <t>No</t>
        </is>
      </c>
      <c r="O145" s="17">
        <f>TEXT(G145,"yyyy-mm")</f>
        <v/>
      </c>
      <c r="P145" s="17">
        <f>IF(H145&lt;20,"Low",IF(H145&lt;=60,"Medium","High"))</f>
        <v/>
      </c>
      <c r="Q145" s="17">
        <f>IF(I145&gt;0,"Yes","No")</f>
        <v/>
      </c>
      <c r="R145" s="17">
        <f>IF(N145="Yes",1,0)</f>
        <v/>
      </c>
      <c r="S145" s="17">
        <f>IF(N145=IF(OR(H145&gt;150,I145&gt;40),"Yes","No"),"Match","Mismatch")</f>
        <v/>
      </c>
    </row>
    <row r="146">
      <c r="A146" s="17" t="inlineStr">
        <is>
          <t>S00121</t>
        </is>
      </c>
      <c r="B146" s="17" t="inlineStr">
        <is>
          <t>P7130</t>
        </is>
      </c>
      <c r="C146" s="17" t="inlineStr">
        <is>
          <t>elee</t>
        </is>
      </c>
      <c r="D146" s="17" t="inlineStr">
        <is>
          <t>Clash of Realms</t>
        </is>
      </c>
      <c r="E146" s="17" t="inlineStr">
        <is>
          <t>Console</t>
        </is>
      </c>
      <c r="F146" s="17" t="inlineStr">
        <is>
          <t>North</t>
        </is>
      </c>
      <c r="G146" s="18" t="n">
        <v>45688</v>
      </c>
      <c r="H146" s="17" t="n">
        <v>142</v>
      </c>
      <c r="I146" s="17" t="n">
        <v>0</v>
      </c>
      <c r="J146" s="17" t="inlineStr">
        <is>
          <t>No Purchase</t>
        </is>
      </c>
      <c r="K146" s="17" t="inlineStr">
        <is>
          <t>Completed</t>
        </is>
      </c>
      <c r="L146" s="17" t="inlineStr">
        <is>
          <t>Free</t>
        </is>
      </c>
      <c r="M146" s="17" t="n">
        <v>3</v>
      </c>
      <c r="N146" s="17" t="inlineStr">
        <is>
          <t>No</t>
        </is>
      </c>
      <c r="O146" s="17">
        <f>TEXT(G146,"yyyy-mm")</f>
        <v/>
      </c>
      <c r="P146" s="17">
        <f>IF(H146&lt;20,"Low",IF(H146&lt;=60,"Medium","High"))</f>
        <v/>
      </c>
      <c r="Q146" s="17">
        <f>IF(I146&gt;0,"Yes","No")</f>
        <v/>
      </c>
      <c r="R146" s="17">
        <f>IF(N146="Yes",1,0)</f>
        <v/>
      </c>
      <c r="S146" s="17">
        <f>IF(N146=IF(OR(H146&gt;150,I146&gt;40),"Yes","No"),"Match","Mismatch")</f>
        <v/>
      </c>
    </row>
    <row r="147">
      <c r="A147" s="17" t="inlineStr">
        <is>
          <t>S00320</t>
        </is>
      </c>
      <c r="B147" s="17" t="inlineStr">
        <is>
          <t>P1338</t>
        </is>
      </c>
      <c r="C147" s="17" t="inlineStr">
        <is>
          <t>hharris</t>
        </is>
      </c>
      <c r="D147" s="17" t="inlineStr">
        <is>
          <t>BattleZone</t>
        </is>
      </c>
      <c r="E147" s="17" t="inlineStr">
        <is>
          <t>PC</t>
        </is>
      </c>
      <c r="F147" s="17" t="inlineStr">
        <is>
          <t>Central</t>
        </is>
      </c>
      <c r="G147" s="18" t="n">
        <v>45688</v>
      </c>
      <c r="H147" s="17" t="n">
        <v>156</v>
      </c>
      <c r="I147" s="17" t="n">
        <v>0</v>
      </c>
      <c r="J147" s="17" t="inlineStr">
        <is>
          <t>No Purchase</t>
        </is>
      </c>
      <c r="K147" s="17" t="inlineStr">
        <is>
          <t>Crashed</t>
        </is>
      </c>
      <c r="L147" s="17" t="inlineStr">
        <is>
          <t>Free</t>
        </is>
      </c>
      <c r="M147" s="17" t="n">
        <v>14</v>
      </c>
      <c r="N147" s="17" t="inlineStr">
        <is>
          <t>Yes</t>
        </is>
      </c>
      <c r="O147" s="17">
        <f>TEXT(G147,"yyyy-mm")</f>
        <v/>
      </c>
      <c r="P147" s="17">
        <f>IF(H147&lt;20,"Low",IF(H147&lt;=60,"Medium","High"))</f>
        <v/>
      </c>
      <c r="Q147" s="17">
        <f>IF(I147&gt;0,"Yes","No")</f>
        <v/>
      </c>
      <c r="R147" s="17">
        <f>IF(N147="Yes",1,0)</f>
        <v/>
      </c>
      <c r="S147" s="17">
        <f>IF(N147=IF(OR(H147&gt;150,I147&gt;40),"Yes","No"),"Match","Mismatch")</f>
        <v/>
      </c>
    </row>
    <row r="148">
      <c r="A148" s="17" t="inlineStr">
        <is>
          <t>S00086</t>
        </is>
      </c>
      <c r="B148" s="17" t="inlineStr">
        <is>
          <t>P8703</t>
        </is>
      </c>
      <c r="C148" s="17" t="inlineStr">
        <is>
          <t>wayne88</t>
        </is>
      </c>
      <c r="D148" s="17" t="inlineStr">
        <is>
          <t>BattleZone</t>
        </is>
      </c>
      <c r="E148" s="17" t="inlineStr">
        <is>
          <t>PC</t>
        </is>
      </c>
      <c r="F148" s="17" t="inlineStr">
        <is>
          <t>South</t>
        </is>
      </c>
      <c r="G148" s="18" t="n">
        <v>45689</v>
      </c>
      <c r="H148" s="17" t="n">
        <v>11</v>
      </c>
      <c r="I148" s="17" t="n">
        <v>0</v>
      </c>
      <c r="J148" s="17" t="inlineStr">
        <is>
          <t>No Purchase</t>
        </is>
      </c>
      <c r="K148" s="17" t="inlineStr">
        <is>
          <t>Crashed</t>
        </is>
      </c>
      <c r="L148" s="17" t="inlineStr">
        <is>
          <t>Free</t>
        </is>
      </c>
      <c r="M148" s="17" t="n">
        <v>18</v>
      </c>
      <c r="N148" s="17" t="inlineStr">
        <is>
          <t>No</t>
        </is>
      </c>
      <c r="O148" s="17">
        <f>TEXT(G148,"yyyy-mm")</f>
        <v/>
      </c>
      <c r="P148" s="17">
        <f>IF(H148&lt;20,"Low",IF(H148&lt;=60,"Medium","High"))</f>
        <v/>
      </c>
      <c r="Q148" s="17">
        <f>IF(I148&gt;0,"Yes","No")</f>
        <v/>
      </c>
      <c r="R148" s="17">
        <f>IF(N148="Yes",1,0)</f>
        <v/>
      </c>
      <c r="S148" s="17">
        <f>IF(N148=IF(OR(H148&gt;150,I148&gt;40),"Yes","No"),"Match","Mismatch")</f>
        <v/>
      </c>
    </row>
    <row r="149">
      <c r="A149" s="17" t="inlineStr">
        <is>
          <t>S00357</t>
        </is>
      </c>
      <c r="B149" s="17" t="inlineStr">
        <is>
          <t>P7149</t>
        </is>
      </c>
      <c r="C149" s="17" t="inlineStr">
        <is>
          <t>sara36</t>
        </is>
      </c>
      <c r="D149" s="17" t="inlineStr">
        <is>
          <t>Zombie Rush</t>
        </is>
      </c>
      <c r="E149" s="17" t="inlineStr">
        <is>
          <t>Console</t>
        </is>
      </c>
      <c r="F149" s="17" t="inlineStr">
        <is>
          <t>Central</t>
        </is>
      </c>
      <c r="G149" s="18" t="n">
        <v>45689</v>
      </c>
      <c r="H149" s="17" t="n">
        <v>84</v>
      </c>
      <c r="I149" s="17" t="n">
        <v>23.18</v>
      </c>
      <c r="J149" s="17" t="inlineStr">
        <is>
          <t>Subscriptions</t>
        </is>
      </c>
      <c r="K149" s="17" t="inlineStr">
        <is>
          <t>Completed</t>
        </is>
      </c>
      <c r="L149" s="17" t="inlineStr">
        <is>
          <t>Paid</t>
        </is>
      </c>
      <c r="M149" s="17" t="n">
        <v>2</v>
      </c>
      <c r="N149" s="17" t="inlineStr">
        <is>
          <t>No</t>
        </is>
      </c>
      <c r="O149" s="17">
        <f>TEXT(G149,"yyyy-mm")</f>
        <v/>
      </c>
      <c r="P149" s="17">
        <f>IF(H149&lt;20,"Low",IF(H149&lt;=60,"Medium","High"))</f>
        <v/>
      </c>
      <c r="Q149" s="17">
        <f>IF(I149&gt;0,"Yes","No")</f>
        <v/>
      </c>
      <c r="R149" s="17">
        <f>IF(N149="Yes",1,0)</f>
        <v/>
      </c>
      <c r="S149" s="17">
        <f>IF(N149=IF(OR(H149&gt;150,I149&gt;40),"Yes","No"),"Match","Mismatch")</f>
        <v/>
      </c>
    </row>
    <row r="150">
      <c r="A150" s="17" t="inlineStr">
        <is>
          <t>S00481</t>
        </is>
      </c>
      <c r="B150" s="17" t="inlineStr">
        <is>
          <t>P5458</t>
        </is>
      </c>
      <c r="C150" s="17" t="inlineStr">
        <is>
          <t>georgejones</t>
        </is>
      </c>
      <c r="D150" s="17" t="inlineStr">
        <is>
          <t>Empire Wars</t>
        </is>
      </c>
      <c r="E150" s="17" t="inlineStr">
        <is>
          <t>PC</t>
        </is>
      </c>
      <c r="F150" s="17" t="inlineStr">
        <is>
          <t>North-East</t>
        </is>
      </c>
      <c r="G150" s="18" t="n">
        <v>45689</v>
      </c>
      <c r="H150" s="17" t="n">
        <v>134</v>
      </c>
      <c r="I150" s="17" t="n">
        <v>0</v>
      </c>
      <c r="J150" s="17" t="inlineStr">
        <is>
          <t>No Purchase</t>
        </is>
      </c>
      <c r="K150" s="17" t="inlineStr">
        <is>
          <t>Completed</t>
        </is>
      </c>
      <c r="L150" s="17" t="inlineStr">
        <is>
          <t>Free</t>
        </is>
      </c>
      <c r="M150" s="17" t="n">
        <v>41</v>
      </c>
      <c r="N150" s="17" t="inlineStr">
        <is>
          <t>No</t>
        </is>
      </c>
      <c r="O150" s="17">
        <f>TEXT(G150,"yyyy-mm")</f>
        <v/>
      </c>
      <c r="P150" s="17">
        <f>IF(H150&lt;20,"Low",IF(H150&lt;=60,"Medium","High"))</f>
        <v/>
      </c>
      <c r="Q150" s="17">
        <f>IF(I150&gt;0,"Yes","No")</f>
        <v/>
      </c>
      <c r="R150" s="17">
        <f>IF(N150="Yes",1,0)</f>
        <v/>
      </c>
      <c r="S150" s="17">
        <f>IF(N150=IF(OR(H150&gt;150,I150&gt;40),"Yes","No"),"Match","Mismatch")</f>
        <v/>
      </c>
    </row>
    <row r="151">
      <c r="A151" s="17" t="inlineStr">
        <is>
          <t>S00279</t>
        </is>
      </c>
      <c r="B151" s="17" t="inlineStr">
        <is>
          <t>P8384</t>
        </is>
      </c>
      <c r="C151" s="17" t="inlineStr">
        <is>
          <t>walkernathan</t>
        </is>
      </c>
      <c r="D151" s="17" t="inlineStr">
        <is>
          <t>Empire Wars</t>
        </is>
      </c>
      <c r="E151" s="17" t="inlineStr">
        <is>
          <t>PC</t>
        </is>
      </c>
      <c r="F151" s="17" t="inlineStr">
        <is>
          <t>South</t>
        </is>
      </c>
      <c r="G151" s="18" t="n">
        <v>45690</v>
      </c>
      <c r="H151" s="17" t="n">
        <v>91</v>
      </c>
      <c r="I151" s="17" t="n">
        <v>0</v>
      </c>
      <c r="J151" s="17" t="inlineStr">
        <is>
          <t>No Purchase</t>
        </is>
      </c>
      <c r="K151" s="17" t="inlineStr">
        <is>
          <t>Completed</t>
        </is>
      </c>
      <c r="L151" s="17" t="inlineStr">
        <is>
          <t>Free</t>
        </is>
      </c>
      <c r="M151" s="17" t="n">
        <v>22</v>
      </c>
      <c r="N151" s="17" t="inlineStr">
        <is>
          <t>No</t>
        </is>
      </c>
      <c r="O151" s="17">
        <f>TEXT(G151,"yyyy-mm")</f>
        <v/>
      </c>
      <c r="P151" s="17">
        <f>IF(H151&lt;20,"Low",IF(H151&lt;=60,"Medium","High"))</f>
        <v/>
      </c>
      <c r="Q151" s="17">
        <f>IF(I151&gt;0,"Yes","No")</f>
        <v/>
      </c>
      <c r="R151" s="17">
        <f>IF(N151="Yes",1,0)</f>
        <v/>
      </c>
      <c r="S151" s="17">
        <f>IF(N151=IF(OR(H151&gt;150,I151&gt;40),"Yes","No"),"Match","Mismatch")</f>
        <v/>
      </c>
    </row>
    <row r="152">
      <c r="A152" s="17" t="inlineStr">
        <is>
          <t>S00461</t>
        </is>
      </c>
      <c r="B152" s="17" t="inlineStr">
        <is>
          <t>P4636</t>
        </is>
      </c>
      <c r="C152" s="17" t="inlineStr">
        <is>
          <t>jeffreyjohnson</t>
        </is>
      </c>
      <c r="D152" s="17" t="inlineStr">
        <is>
          <t>SpeedX</t>
        </is>
      </c>
      <c r="E152" s="17" t="inlineStr">
        <is>
          <t>PC</t>
        </is>
      </c>
      <c r="F152" s="17" t="inlineStr">
        <is>
          <t>East</t>
        </is>
      </c>
      <c r="G152" s="18" t="n">
        <v>45690</v>
      </c>
      <c r="H152" s="17" t="n">
        <v>52</v>
      </c>
      <c r="I152" s="17" t="n">
        <v>0</v>
      </c>
      <c r="J152" s="17" t="inlineStr">
        <is>
          <t>No Purchase</t>
        </is>
      </c>
      <c r="K152" s="17" t="inlineStr">
        <is>
          <t>Exited Early</t>
        </is>
      </c>
      <c r="L152" s="17" t="inlineStr">
        <is>
          <t>Free</t>
        </is>
      </c>
      <c r="M152" s="17" t="n">
        <v>19</v>
      </c>
      <c r="N152" s="17" t="inlineStr">
        <is>
          <t>No</t>
        </is>
      </c>
      <c r="O152" s="17">
        <f>TEXT(G152,"yyyy-mm")</f>
        <v/>
      </c>
      <c r="P152" s="17">
        <f>IF(H152&lt;20,"Low",IF(H152&lt;=60,"Medium","High"))</f>
        <v/>
      </c>
      <c r="Q152" s="17">
        <f>IF(I152&gt;0,"Yes","No")</f>
        <v/>
      </c>
      <c r="R152" s="17">
        <f>IF(N152="Yes",1,0)</f>
        <v/>
      </c>
      <c r="S152" s="17">
        <f>IF(N152=IF(OR(H152&gt;150,I152&gt;40),"Yes","No"),"Match","Mismatch")</f>
        <v/>
      </c>
    </row>
    <row r="153">
      <c r="A153" s="17" t="inlineStr">
        <is>
          <t>S00359</t>
        </is>
      </c>
      <c r="B153" s="17" t="inlineStr">
        <is>
          <t>P8092</t>
        </is>
      </c>
      <c r="C153" s="17" t="inlineStr">
        <is>
          <t>lisacoffey</t>
        </is>
      </c>
      <c r="D153" s="17" t="inlineStr">
        <is>
          <t>Zombie Rush</t>
        </is>
      </c>
      <c r="E153" s="17" t="inlineStr">
        <is>
          <t>Console</t>
        </is>
      </c>
      <c r="F153" s="17" t="inlineStr">
        <is>
          <t>Central</t>
        </is>
      </c>
      <c r="G153" s="18" t="n">
        <v>45690</v>
      </c>
      <c r="H153" s="17" t="n">
        <v>63</v>
      </c>
      <c r="I153" s="17" t="n">
        <v>0</v>
      </c>
      <c r="J153" s="17" t="inlineStr">
        <is>
          <t>No Purchase</t>
        </is>
      </c>
      <c r="K153" s="17" t="inlineStr">
        <is>
          <t>Crashed</t>
        </is>
      </c>
      <c r="L153" s="17" t="inlineStr">
        <is>
          <t>Free</t>
        </is>
      </c>
      <c r="M153" s="17" t="n">
        <v>4</v>
      </c>
      <c r="N153" s="17" t="inlineStr">
        <is>
          <t>No</t>
        </is>
      </c>
      <c r="O153" s="17">
        <f>TEXT(G153,"yyyy-mm")</f>
        <v/>
      </c>
      <c r="P153" s="17">
        <f>IF(H153&lt;20,"Low",IF(H153&lt;=60,"Medium","High"))</f>
        <v/>
      </c>
      <c r="Q153" s="17">
        <f>IF(I153&gt;0,"Yes","No")</f>
        <v/>
      </c>
      <c r="R153" s="17">
        <f>IF(N153="Yes",1,0)</f>
        <v/>
      </c>
      <c r="S153" s="17">
        <f>IF(N153=IF(OR(H153&gt;150,I153&gt;40),"Yes","No"),"Match","Mismatch")</f>
        <v/>
      </c>
    </row>
    <row r="154">
      <c r="A154" s="17" t="inlineStr">
        <is>
          <t>S00159</t>
        </is>
      </c>
      <c r="B154" s="17" t="inlineStr">
        <is>
          <t>P7795</t>
        </is>
      </c>
      <c r="C154" s="17" t="inlineStr">
        <is>
          <t>morrismelissa</t>
        </is>
      </c>
      <c r="D154" s="17" t="inlineStr">
        <is>
          <t>Clash of Realms</t>
        </is>
      </c>
      <c r="E154" s="17" t="inlineStr">
        <is>
          <t>Console</t>
        </is>
      </c>
      <c r="F154" s="17" t="inlineStr">
        <is>
          <t>South</t>
        </is>
      </c>
      <c r="G154" s="18" t="n">
        <v>45690</v>
      </c>
      <c r="H154" s="17" t="n">
        <v>50</v>
      </c>
      <c r="I154" s="17" t="n">
        <v>0</v>
      </c>
      <c r="J154" s="17" t="inlineStr">
        <is>
          <t>No Purchase</t>
        </is>
      </c>
      <c r="K154" s="17" t="inlineStr">
        <is>
          <t>Completed</t>
        </is>
      </c>
      <c r="L154" s="17" t="inlineStr">
        <is>
          <t>Free</t>
        </is>
      </c>
      <c r="M154" s="17" t="n">
        <v>21</v>
      </c>
      <c r="N154" s="17" t="inlineStr">
        <is>
          <t>No</t>
        </is>
      </c>
      <c r="O154" s="17">
        <f>TEXT(G154,"yyyy-mm")</f>
        <v/>
      </c>
      <c r="P154" s="17">
        <f>IF(H154&lt;20,"Low",IF(H154&lt;=60,"Medium","High"))</f>
        <v/>
      </c>
      <c r="Q154" s="17">
        <f>IF(I154&gt;0,"Yes","No")</f>
        <v/>
      </c>
      <c r="R154" s="17">
        <f>IF(N154="Yes",1,0)</f>
        <v/>
      </c>
      <c r="S154" s="17">
        <f>IF(N154=IF(OR(H154&gt;150,I154&gt;40),"Yes","No"),"Match","Mismatch")</f>
        <v/>
      </c>
    </row>
    <row r="155">
      <c r="A155" s="17" t="inlineStr">
        <is>
          <t>S00251</t>
        </is>
      </c>
      <c r="B155" s="17" t="inlineStr">
        <is>
          <t>P6820</t>
        </is>
      </c>
      <c r="C155" s="17" t="inlineStr">
        <is>
          <t>espinozajennifer</t>
        </is>
      </c>
      <c r="D155" s="17" t="inlineStr">
        <is>
          <t>BattleZone</t>
        </is>
      </c>
      <c r="E155" s="17" t="inlineStr">
        <is>
          <t>Console</t>
        </is>
      </c>
      <c r="F155" s="17" t="inlineStr">
        <is>
          <t>North-East</t>
        </is>
      </c>
      <c r="G155" s="18" t="n">
        <v>45691</v>
      </c>
      <c r="H155" s="17" t="n">
        <v>38</v>
      </c>
      <c r="I155" s="17" t="n">
        <v>30.6</v>
      </c>
      <c r="J155" s="17" t="inlineStr">
        <is>
          <t>Subscriptions</t>
        </is>
      </c>
      <c r="K155" s="17" t="inlineStr">
        <is>
          <t>Completed</t>
        </is>
      </c>
      <c r="L155" s="17" t="inlineStr">
        <is>
          <t>Paid</t>
        </is>
      </c>
      <c r="M155" s="17" t="n">
        <v>27</v>
      </c>
      <c r="N155" s="17" t="inlineStr">
        <is>
          <t>No</t>
        </is>
      </c>
      <c r="O155" s="17">
        <f>TEXT(G155,"yyyy-mm")</f>
        <v/>
      </c>
      <c r="P155" s="17">
        <f>IF(H155&lt;20,"Low",IF(H155&lt;=60,"Medium","High"))</f>
        <v/>
      </c>
      <c r="Q155" s="17">
        <f>IF(I155&gt;0,"Yes","No")</f>
        <v/>
      </c>
      <c r="R155" s="17">
        <f>IF(N155="Yes",1,0)</f>
        <v/>
      </c>
      <c r="S155" s="17">
        <f>IF(N155=IF(OR(H155&gt;150,I155&gt;40),"Yes","No"),"Match","Mismatch")</f>
        <v/>
      </c>
    </row>
    <row r="156">
      <c r="A156" s="17" t="inlineStr">
        <is>
          <t>S00048</t>
        </is>
      </c>
      <c r="B156" s="17" t="inlineStr">
        <is>
          <t>P1178</t>
        </is>
      </c>
      <c r="C156" s="17" t="inlineStr">
        <is>
          <t>nathan33</t>
        </is>
      </c>
      <c r="D156" s="17" t="inlineStr">
        <is>
          <t>BattleZone</t>
        </is>
      </c>
      <c r="E156" s="17" t="inlineStr">
        <is>
          <t>Console</t>
        </is>
      </c>
      <c r="F156" s="17" t="inlineStr">
        <is>
          <t>North</t>
        </is>
      </c>
      <c r="G156" s="18" t="n">
        <v>45692</v>
      </c>
      <c r="H156" s="17" t="n">
        <v>115</v>
      </c>
      <c r="I156" s="17" t="n">
        <v>22.35</v>
      </c>
      <c r="J156" s="17" t="inlineStr">
        <is>
          <t>Subscriptions</t>
        </is>
      </c>
      <c r="K156" s="17" t="inlineStr">
        <is>
          <t>Completed</t>
        </is>
      </c>
      <c r="L156" s="17" t="inlineStr">
        <is>
          <t>Paid</t>
        </is>
      </c>
      <c r="M156" s="17" t="n">
        <v>43</v>
      </c>
      <c r="N156" s="17" t="inlineStr">
        <is>
          <t>No</t>
        </is>
      </c>
      <c r="O156" s="17">
        <f>TEXT(G156,"yyyy-mm")</f>
        <v/>
      </c>
      <c r="P156" s="17">
        <f>IF(H156&lt;20,"Low",IF(H156&lt;=60,"Medium","High"))</f>
        <v/>
      </c>
      <c r="Q156" s="17">
        <f>IF(I156&gt;0,"Yes","No")</f>
        <v/>
      </c>
      <c r="R156" s="17">
        <f>IF(N156="Yes",1,0)</f>
        <v/>
      </c>
      <c r="S156" s="17">
        <f>IF(N156=IF(OR(H156&gt;150,I156&gt;40),"Yes","No"),"Match","Mismatch")</f>
        <v/>
      </c>
    </row>
    <row r="157">
      <c r="A157" s="17" t="inlineStr">
        <is>
          <t>S00200</t>
        </is>
      </c>
      <c r="B157" s="17" t="inlineStr">
        <is>
          <t>P7486</t>
        </is>
      </c>
      <c r="C157" s="17" t="inlineStr">
        <is>
          <t>qmills</t>
        </is>
      </c>
      <c r="D157" s="17" t="inlineStr">
        <is>
          <t>SpeedX</t>
        </is>
      </c>
      <c r="E157" s="17" t="inlineStr">
        <is>
          <t>Mobile</t>
        </is>
      </c>
      <c r="F157" s="17" t="inlineStr">
        <is>
          <t>Central</t>
        </is>
      </c>
      <c r="G157" s="18" t="n">
        <v>45692</v>
      </c>
      <c r="H157" s="17" t="n">
        <v>18</v>
      </c>
      <c r="I157" s="17" t="n">
        <v>0</v>
      </c>
      <c r="J157" s="17" t="inlineStr">
        <is>
          <t>No Purchase</t>
        </is>
      </c>
      <c r="K157" s="17" t="inlineStr">
        <is>
          <t>Completed</t>
        </is>
      </c>
      <c r="L157" s="17" t="inlineStr">
        <is>
          <t>Free</t>
        </is>
      </c>
      <c r="M157" s="17" t="n">
        <v>14</v>
      </c>
      <c r="N157" s="17" t="inlineStr">
        <is>
          <t>No</t>
        </is>
      </c>
      <c r="O157" s="17">
        <f>TEXT(G157,"yyyy-mm")</f>
        <v/>
      </c>
      <c r="P157" s="17">
        <f>IF(H157&lt;20,"Low",IF(H157&lt;=60,"Medium","High"))</f>
        <v/>
      </c>
      <c r="Q157" s="17">
        <f>IF(I157&gt;0,"Yes","No")</f>
        <v/>
      </c>
      <c r="R157" s="17">
        <f>IF(N157="Yes",1,0)</f>
        <v/>
      </c>
      <c r="S157" s="17">
        <f>IF(N157=IF(OR(H157&gt;150,I157&gt;40),"Yes","No"),"Match","Mismatch")</f>
        <v/>
      </c>
    </row>
    <row r="158">
      <c r="A158" s="17" t="inlineStr">
        <is>
          <t>S00044</t>
        </is>
      </c>
      <c r="B158" s="17" t="inlineStr">
        <is>
          <t>P5497</t>
        </is>
      </c>
      <c r="C158" s="17" t="inlineStr">
        <is>
          <t>vmooney</t>
        </is>
      </c>
      <c r="D158" s="17" t="inlineStr">
        <is>
          <t>BattleZone</t>
        </is>
      </c>
      <c r="E158" s="17" t="inlineStr">
        <is>
          <t>Console</t>
        </is>
      </c>
      <c r="F158" s="17" t="inlineStr">
        <is>
          <t>West</t>
        </is>
      </c>
      <c r="G158" s="18" t="n">
        <v>45692</v>
      </c>
      <c r="H158" s="17" t="n">
        <v>67</v>
      </c>
      <c r="I158" s="17" t="n">
        <v>0</v>
      </c>
      <c r="J158" s="17" t="inlineStr">
        <is>
          <t>No Purchase</t>
        </is>
      </c>
      <c r="K158" s="17" t="inlineStr">
        <is>
          <t>Exited Early</t>
        </is>
      </c>
      <c r="L158" s="17" t="inlineStr">
        <is>
          <t>Free</t>
        </is>
      </c>
      <c r="M158" s="17" t="n">
        <v>16</v>
      </c>
      <c r="N158" s="17" t="inlineStr">
        <is>
          <t>No</t>
        </is>
      </c>
      <c r="O158" s="17">
        <f>TEXT(G158,"yyyy-mm")</f>
        <v/>
      </c>
      <c r="P158" s="17">
        <f>IF(H158&lt;20,"Low",IF(H158&lt;=60,"Medium","High"))</f>
        <v/>
      </c>
      <c r="Q158" s="17">
        <f>IF(I158&gt;0,"Yes","No")</f>
        <v/>
      </c>
      <c r="R158" s="17">
        <f>IF(N158="Yes",1,0)</f>
        <v/>
      </c>
      <c r="S158" s="17">
        <f>IF(N158=IF(OR(H158&gt;150,I158&gt;40),"Yes","No"),"Match","Mismatch")</f>
        <v/>
      </c>
    </row>
    <row r="159">
      <c r="A159" s="17" t="inlineStr">
        <is>
          <t>S00028</t>
        </is>
      </c>
      <c r="B159" s="17" t="inlineStr">
        <is>
          <t>P4851</t>
        </is>
      </c>
      <c r="C159" s="17" t="inlineStr">
        <is>
          <t>wlawson</t>
        </is>
      </c>
      <c r="D159" s="17" t="inlineStr">
        <is>
          <t>SpeedX</t>
        </is>
      </c>
      <c r="E159" s="17" t="inlineStr">
        <is>
          <t>Mobile</t>
        </is>
      </c>
      <c r="F159" s="17" t="inlineStr">
        <is>
          <t>North-East</t>
        </is>
      </c>
      <c r="G159" s="18" t="n">
        <v>45692</v>
      </c>
      <c r="H159" s="17" t="n">
        <v>105</v>
      </c>
      <c r="I159" s="17" t="n">
        <v>0</v>
      </c>
      <c r="J159" s="17" t="inlineStr">
        <is>
          <t>No Purchase</t>
        </is>
      </c>
      <c r="K159" s="17" t="inlineStr">
        <is>
          <t>Completed</t>
        </is>
      </c>
      <c r="L159" s="17" t="inlineStr">
        <is>
          <t>Free</t>
        </is>
      </c>
      <c r="M159" s="17" t="n">
        <v>11</v>
      </c>
      <c r="N159" s="17" t="inlineStr">
        <is>
          <t>No</t>
        </is>
      </c>
      <c r="O159" s="17">
        <f>TEXT(G159,"yyyy-mm")</f>
        <v/>
      </c>
      <c r="P159" s="17">
        <f>IF(H159&lt;20,"Low",IF(H159&lt;=60,"Medium","High"))</f>
        <v/>
      </c>
      <c r="Q159" s="17">
        <f>IF(I159&gt;0,"Yes","No")</f>
        <v/>
      </c>
      <c r="R159" s="17">
        <f>IF(N159="Yes",1,0)</f>
        <v/>
      </c>
      <c r="S159" s="17">
        <f>IF(N159=IF(OR(H159&gt;150,I159&gt;40),"Yes","No"),"Match","Mismatch")</f>
        <v/>
      </c>
    </row>
    <row r="160">
      <c r="A160" s="17" t="inlineStr">
        <is>
          <t>S00077</t>
        </is>
      </c>
      <c r="B160" s="17" t="inlineStr">
        <is>
          <t>P6534</t>
        </is>
      </c>
      <c r="C160" s="17" t="inlineStr">
        <is>
          <t>lindsay74</t>
        </is>
      </c>
      <c r="D160" s="17" t="inlineStr">
        <is>
          <t>SpeedX</t>
        </is>
      </c>
      <c r="E160" s="17" t="inlineStr">
        <is>
          <t>PC</t>
        </is>
      </c>
      <c r="F160" s="17" t="inlineStr">
        <is>
          <t>West</t>
        </is>
      </c>
      <c r="G160" s="18" t="n">
        <v>45692</v>
      </c>
      <c r="H160" s="17" t="n">
        <v>128</v>
      </c>
      <c r="I160" s="17" t="n">
        <v>0</v>
      </c>
      <c r="J160" s="17" t="inlineStr">
        <is>
          <t>No Purchase</t>
        </is>
      </c>
      <c r="K160" s="17" t="inlineStr">
        <is>
          <t>Incomplete</t>
        </is>
      </c>
      <c r="L160" s="17" t="inlineStr">
        <is>
          <t>Free</t>
        </is>
      </c>
      <c r="M160" s="17" t="n">
        <v>40</v>
      </c>
      <c r="N160" s="17" t="inlineStr">
        <is>
          <t>No</t>
        </is>
      </c>
      <c r="O160" s="17">
        <f>TEXT(G160,"yyyy-mm")</f>
        <v/>
      </c>
      <c r="P160" s="17">
        <f>IF(H160&lt;20,"Low",IF(H160&lt;=60,"Medium","High"))</f>
        <v/>
      </c>
      <c r="Q160" s="17">
        <f>IF(I160&gt;0,"Yes","No")</f>
        <v/>
      </c>
      <c r="R160" s="17">
        <f>IF(N160="Yes",1,0)</f>
        <v/>
      </c>
      <c r="S160" s="17">
        <f>IF(N160=IF(OR(H160&gt;150,I160&gt;40),"Yes","No"),"Match","Mismatch")</f>
        <v/>
      </c>
    </row>
    <row r="161">
      <c r="A161" s="17" t="inlineStr">
        <is>
          <t>S00149</t>
        </is>
      </c>
      <c r="B161" s="17" t="inlineStr">
        <is>
          <t>P2573</t>
        </is>
      </c>
      <c r="C161" s="17" t="inlineStr">
        <is>
          <t>pkim</t>
        </is>
      </c>
      <c r="D161" s="17" t="inlineStr">
        <is>
          <t>Empire Wars</t>
        </is>
      </c>
      <c r="E161" s="17" t="inlineStr">
        <is>
          <t>Mobile</t>
        </is>
      </c>
      <c r="F161" s="17" t="inlineStr">
        <is>
          <t>Central</t>
        </is>
      </c>
      <c r="G161" s="18" t="n">
        <v>45693</v>
      </c>
      <c r="H161" s="17" t="n">
        <v>133</v>
      </c>
      <c r="I161" s="17" t="n">
        <v>0</v>
      </c>
      <c r="J161" s="17" t="inlineStr">
        <is>
          <t>No Purchase</t>
        </is>
      </c>
      <c r="K161" s="17" t="inlineStr">
        <is>
          <t>Completed</t>
        </is>
      </c>
      <c r="L161" s="17" t="inlineStr">
        <is>
          <t>Free</t>
        </is>
      </c>
      <c r="M161" s="17" t="n">
        <v>26</v>
      </c>
      <c r="N161" s="17" t="inlineStr">
        <is>
          <t>No</t>
        </is>
      </c>
      <c r="O161" s="17">
        <f>TEXT(G161,"yyyy-mm")</f>
        <v/>
      </c>
      <c r="P161" s="17">
        <f>IF(H161&lt;20,"Low",IF(H161&lt;=60,"Medium","High"))</f>
        <v/>
      </c>
      <c r="Q161" s="17">
        <f>IF(I161&gt;0,"Yes","No")</f>
        <v/>
      </c>
      <c r="R161" s="17">
        <f>IF(N161="Yes",1,0)</f>
        <v/>
      </c>
      <c r="S161" s="17">
        <f>IF(N161=IF(OR(H161&gt;150,I161&gt;40),"Yes","No"),"Match","Mismatch")</f>
        <v/>
      </c>
    </row>
    <row r="162">
      <c r="A162" s="17" t="inlineStr">
        <is>
          <t>S00231</t>
        </is>
      </c>
      <c r="B162" s="17" t="inlineStr">
        <is>
          <t>P9363</t>
        </is>
      </c>
      <c r="C162" s="17" t="inlineStr">
        <is>
          <t>melissa94</t>
        </is>
      </c>
      <c r="D162" s="17" t="inlineStr">
        <is>
          <t>Zombie Rush</t>
        </is>
      </c>
      <c r="E162" s="17" t="inlineStr">
        <is>
          <t>Mobile</t>
        </is>
      </c>
      <c r="F162" s="17" t="inlineStr">
        <is>
          <t>North</t>
        </is>
      </c>
      <c r="G162" s="18" t="n">
        <v>45693</v>
      </c>
      <c r="H162" s="17" t="n">
        <v>23</v>
      </c>
      <c r="I162" s="17" t="n">
        <v>24.09</v>
      </c>
      <c r="J162" s="17" t="inlineStr">
        <is>
          <t>Skins</t>
        </is>
      </c>
      <c r="K162" s="17" t="inlineStr">
        <is>
          <t>Incomplete</t>
        </is>
      </c>
      <c r="L162" s="17" t="inlineStr">
        <is>
          <t>Paid</t>
        </is>
      </c>
      <c r="M162" s="17" t="n">
        <v>23</v>
      </c>
      <c r="N162" s="17" t="inlineStr">
        <is>
          <t>No</t>
        </is>
      </c>
      <c r="O162" s="17">
        <f>TEXT(G162,"yyyy-mm")</f>
        <v/>
      </c>
      <c r="P162" s="17">
        <f>IF(H162&lt;20,"Low",IF(H162&lt;=60,"Medium","High"))</f>
        <v/>
      </c>
      <c r="Q162" s="17">
        <f>IF(I162&gt;0,"Yes","No")</f>
        <v/>
      </c>
      <c r="R162" s="17">
        <f>IF(N162="Yes",1,0)</f>
        <v/>
      </c>
      <c r="S162" s="17">
        <f>IF(N162=IF(OR(H162&gt;150,I162&gt;40),"Yes","No"),"Match","Mismatch")</f>
        <v/>
      </c>
    </row>
    <row r="163">
      <c r="A163" s="17" t="inlineStr">
        <is>
          <t>S00476</t>
        </is>
      </c>
      <c r="B163" s="17" t="inlineStr">
        <is>
          <t>P9766</t>
        </is>
      </c>
      <c r="C163" s="17" t="inlineStr">
        <is>
          <t>smithcarrie</t>
        </is>
      </c>
      <c r="D163" s="17" t="inlineStr">
        <is>
          <t>Zombie Rush</t>
        </is>
      </c>
      <c r="E163" s="17" t="inlineStr">
        <is>
          <t>Mobile</t>
        </is>
      </c>
      <c r="F163" s="17" t="inlineStr">
        <is>
          <t>South</t>
        </is>
      </c>
      <c r="G163" s="18" t="n">
        <v>45693</v>
      </c>
      <c r="H163" s="17" t="n">
        <v>85</v>
      </c>
      <c r="I163" s="17" t="n">
        <v>0</v>
      </c>
      <c r="J163" s="17" t="inlineStr">
        <is>
          <t>No Purchase</t>
        </is>
      </c>
      <c r="K163" s="17" t="inlineStr">
        <is>
          <t>Incomplete</t>
        </is>
      </c>
      <c r="L163" s="17" t="inlineStr">
        <is>
          <t>Paid</t>
        </is>
      </c>
      <c r="M163" s="17" t="n">
        <v>12</v>
      </c>
      <c r="N163" s="17" t="inlineStr">
        <is>
          <t>No</t>
        </is>
      </c>
      <c r="O163" s="17">
        <f>TEXT(G163,"yyyy-mm")</f>
        <v/>
      </c>
      <c r="P163" s="17">
        <f>IF(H163&lt;20,"Low",IF(H163&lt;=60,"Medium","High"))</f>
        <v/>
      </c>
      <c r="Q163" s="17">
        <f>IF(I163&gt;0,"Yes","No")</f>
        <v/>
      </c>
      <c r="R163" s="17">
        <f>IF(N163="Yes",1,0)</f>
        <v/>
      </c>
      <c r="S163" s="17">
        <f>IF(N163=IF(OR(H163&gt;150,I163&gt;40),"Yes","No"),"Match","Mismatch")</f>
        <v/>
      </c>
    </row>
    <row r="164">
      <c r="A164" s="17" t="inlineStr">
        <is>
          <t>S00184</t>
        </is>
      </c>
      <c r="B164" s="17" t="inlineStr">
        <is>
          <t>P6474</t>
        </is>
      </c>
      <c r="C164" s="17" t="inlineStr">
        <is>
          <t>robertmassey</t>
        </is>
      </c>
      <c r="D164" s="17" t="inlineStr">
        <is>
          <t>Empire Wars</t>
        </is>
      </c>
      <c r="E164" s="17" t="inlineStr">
        <is>
          <t>Console</t>
        </is>
      </c>
      <c r="F164" s="17" t="inlineStr">
        <is>
          <t>Central</t>
        </is>
      </c>
      <c r="G164" s="18" t="n">
        <v>45693</v>
      </c>
      <c r="H164" s="17" t="n">
        <v>54</v>
      </c>
      <c r="I164" s="17" t="n">
        <v>0</v>
      </c>
      <c r="J164" s="17" t="inlineStr">
        <is>
          <t>No Purchase</t>
        </is>
      </c>
      <c r="K164" s="17" t="inlineStr">
        <is>
          <t>Completed</t>
        </is>
      </c>
      <c r="L164" s="17" t="inlineStr">
        <is>
          <t>Free</t>
        </is>
      </c>
      <c r="M164" s="17" t="n">
        <v>49</v>
      </c>
      <c r="N164" s="17" t="inlineStr">
        <is>
          <t>No</t>
        </is>
      </c>
      <c r="O164" s="17">
        <f>TEXT(G164,"yyyy-mm")</f>
        <v/>
      </c>
      <c r="P164" s="17">
        <f>IF(H164&lt;20,"Low",IF(H164&lt;=60,"Medium","High"))</f>
        <v/>
      </c>
      <c r="Q164" s="17">
        <f>IF(I164&gt;0,"Yes","No")</f>
        <v/>
      </c>
      <c r="R164" s="17">
        <f>IF(N164="Yes",1,0)</f>
        <v/>
      </c>
      <c r="S164" s="17">
        <f>IF(N164=IF(OR(H164&gt;150,I164&gt;40),"Yes","No"),"Match","Mismatch")</f>
        <v/>
      </c>
    </row>
    <row r="165">
      <c r="A165" s="17" t="inlineStr">
        <is>
          <t>S00323</t>
        </is>
      </c>
      <c r="B165" s="17" t="inlineStr">
        <is>
          <t>P7890</t>
        </is>
      </c>
      <c r="C165" s="17" t="inlineStr">
        <is>
          <t>bobbyanderson</t>
        </is>
      </c>
      <c r="D165" s="17" t="inlineStr">
        <is>
          <t>BattleZone</t>
        </is>
      </c>
      <c r="E165" s="17" t="inlineStr">
        <is>
          <t>Mobile</t>
        </is>
      </c>
      <c r="F165" s="17" t="inlineStr">
        <is>
          <t>South</t>
        </is>
      </c>
      <c r="G165" s="18" t="n">
        <v>45694</v>
      </c>
      <c r="H165" s="17" t="n">
        <v>58</v>
      </c>
      <c r="I165" s="17" t="n">
        <v>0</v>
      </c>
      <c r="J165" s="17" t="inlineStr">
        <is>
          <t>No Purchase</t>
        </is>
      </c>
      <c r="K165" s="17" t="inlineStr">
        <is>
          <t>Incomplete</t>
        </is>
      </c>
      <c r="L165" s="17" t="inlineStr">
        <is>
          <t>Free</t>
        </is>
      </c>
      <c r="M165" s="17" t="n">
        <v>15</v>
      </c>
      <c r="N165" s="17" t="inlineStr">
        <is>
          <t>No</t>
        </is>
      </c>
      <c r="O165" s="17">
        <f>TEXT(G165,"yyyy-mm")</f>
        <v/>
      </c>
      <c r="P165" s="17">
        <f>IF(H165&lt;20,"Low",IF(H165&lt;=60,"Medium","High"))</f>
        <v/>
      </c>
      <c r="Q165" s="17">
        <f>IF(I165&gt;0,"Yes","No")</f>
        <v/>
      </c>
      <c r="R165" s="17">
        <f>IF(N165="Yes",1,0)</f>
        <v/>
      </c>
      <c r="S165" s="17">
        <f>IF(N165=IF(OR(H165&gt;150,I165&gt;40),"Yes","No"),"Match","Mismatch")</f>
        <v/>
      </c>
    </row>
    <row r="166">
      <c r="A166" s="17" t="inlineStr">
        <is>
          <t>S00031</t>
        </is>
      </c>
      <c r="B166" s="17" t="inlineStr">
        <is>
          <t>P3683</t>
        </is>
      </c>
      <c r="C166" s="17" t="inlineStr">
        <is>
          <t>rebekah64</t>
        </is>
      </c>
      <c r="D166" s="17" t="inlineStr">
        <is>
          <t>Empire Wars</t>
        </is>
      </c>
      <c r="E166" s="17" t="inlineStr">
        <is>
          <t>Mobile</t>
        </is>
      </c>
      <c r="F166" s="17" t="inlineStr">
        <is>
          <t>North-East</t>
        </is>
      </c>
      <c r="G166" s="18" t="n">
        <v>45694</v>
      </c>
      <c r="H166" s="17" t="n">
        <v>96</v>
      </c>
      <c r="I166" s="17" t="n">
        <v>0</v>
      </c>
      <c r="J166" s="17" t="inlineStr">
        <is>
          <t>No Purchase</t>
        </is>
      </c>
      <c r="K166" s="17" t="inlineStr">
        <is>
          <t>Completed</t>
        </is>
      </c>
      <c r="L166" s="17" t="inlineStr">
        <is>
          <t>Free</t>
        </is>
      </c>
      <c r="M166" s="17" t="n">
        <v>43</v>
      </c>
      <c r="N166" s="17" t="inlineStr">
        <is>
          <t>No</t>
        </is>
      </c>
      <c r="O166" s="17">
        <f>TEXT(G166,"yyyy-mm")</f>
        <v/>
      </c>
      <c r="P166" s="17">
        <f>IF(H166&lt;20,"Low",IF(H166&lt;=60,"Medium","High"))</f>
        <v/>
      </c>
      <c r="Q166" s="17">
        <f>IF(I166&gt;0,"Yes","No")</f>
        <v/>
      </c>
      <c r="R166" s="17">
        <f>IF(N166="Yes",1,0)</f>
        <v/>
      </c>
      <c r="S166" s="17">
        <f>IF(N166=IF(OR(H166&gt;150,I166&gt;40),"Yes","No"),"Match","Mismatch")</f>
        <v/>
      </c>
    </row>
    <row r="167">
      <c r="A167" s="17" t="inlineStr">
        <is>
          <t>S00463</t>
        </is>
      </c>
      <c r="B167" s="17" t="inlineStr">
        <is>
          <t>P3252</t>
        </is>
      </c>
      <c r="C167" s="17" t="inlineStr">
        <is>
          <t>wallacedebra</t>
        </is>
      </c>
      <c r="D167" s="17" t="inlineStr">
        <is>
          <t>BattleZone</t>
        </is>
      </c>
      <c r="E167" s="17" t="inlineStr">
        <is>
          <t>PC</t>
        </is>
      </c>
      <c r="F167" s="17" t="inlineStr">
        <is>
          <t>North</t>
        </is>
      </c>
      <c r="G167" s="18" t="n">
        <v>45694</v>
      </c>
      <c r="H167" s="17" t="n">
        <v>94</v>
      </c>
      <c r="I167" s="17" t="n">
        <v>0</v>
      </c>
      <c r="J167" s="17" t="inlineStr">
        <is>
          <t>No Purchase</t>
        </is>
      </c>
      <c r="K167" s="17" t="inlineStr">
        <is>
          <t>Completed</t>
        </is>
      </c>
      <c r="L167" s="17" t="inlineStr">
        <is>
          <t>Free</t>
        </is>
      </c>
      <c r="M167" s="17" t="n">
        <v>43</v>
      </c>
      <c r="N167" s="17" t="inlineStr">
        <is>
          <t>No</t>
        </is>
      </c>
      <c r="O167" s="17">
        <f>TEXT(G167,"yyyy-mm")</f>
        <v/>
      </c>
      <c r="P167" s="17">
        <f>IF(H167&lt;20,"Low",IF(H167&lt;=60,"Medium","High"))</f>
        <v/>
      </c>
      <c r="Q167" s="17">
        <f>IF(I167&gt;0,"Yes","No")</f>
        <v/>
      </c>
      <c r="R167" s="17">
        <f>IF(N167="Yes",1,0)</f>
        <v/>
      </c>
      <c r="S167" s="17">
        <f>IF(N167=IF(OR(H167&gt;150,I167&gt;40),"Yes","No"),"Match","Mismatch")</f>
        <v/>
      </c>
    </row>
    <row r="168">
      <c r="A168" s="17" t="inlineStr">
        <is>
          <t>S00380</t>
        </is>
      </c>
      <c r="B168" s="17" t="inlineStr">
        <is>
          <t>P7023</t>
        </is>
      </c>
      <c r="C168" s="17" t="inlineStr">
        <is>
          <t>jessicacisneros</t>
        </is>
      </c>
      <c r="D168" s="17" t="inlineStr">
        <is>
          <t>SpeedX</t>
        </is>
      </c>
      <c r="E168" s="17" t="inlineStr">
        <is>
          <t>Mobile</t>
        </is>
      </c>
      <c r="F168" s="17" t="inlineStr">
        <is>
          <t>West</t>
        </is>
      </c>
      <c r="G168" s="18" t="n">
        <v>45694</v>
      </c>
      <c r="H168" s="17" t="n">
        <v>36</v>
      </c>
      <c r="I168" s="17" t="n">
        <v>14.75</v>
      </c>
      <c r="J168" s="17" t="inlineStr">
        <is>
          <t>Battle Pass</t>
        </is>
      </c>
      <c r="K168" s="17" t="inlineStr">
        <is>
          <t>Completed</t>
        </is>
      </c>
      <c r="L168" s="17" t="inlineStr">
        <is>
          <t>Paid</t>
        </is>
      </c>
      <c r="M168" s="17" t="n">
        <v>46</v>
      </c>
      <c r="N168" s="17" t="inlineStr">
        <is>
          <t>No</t>
        </is>
      </c>
      <c r="O168" s="17">
        <f>TEXT(G168,"yyyy-mm")</f>
        <v/>
      </c>
      <c r="P168" s="17">
        <f>IF(H168&lt;20,"Low",IF(H168&lt;=60,"Medium","High"))</f>
        <v/>
      </c>
      <c r="Q168" s="17">
        <f>IF(I168&gt;0,"Yes","No")</f>
        <v/>
      </c>
      <c r="R168" s="17">
        <f>IF(N168="Yes",1,0)</f>
        <v/>
      </c>
      <c r="S168" s="17">
        <f>IF(N168=IF(OR(H168&gt;150,I168&gt;40),"Yes","No"),"Match","Mismatch")</f>
        <v/>
      </c>
    </row>
    <row r="169">
      <c r="A169" s="17" t="inlineStr">
        <is>
          <t>S00009</t>
        </is>
      </c>
      <c r="B169" s="17" t="inlineStr">
        <is>
          <t>P3834</t>
        </is>
      </c>
      <c r="C169" s="17" t="inlineStr">
        <is>
          <t>alexis47</t>
        </is>
      </c>
      <c r="D169" s="17" t="inlineStr">
        <is>
          <t>Clash of Realms</t>
        </is>
      </c>
      <c r="E169" s="17" t="inlineStr">
        <is>
          <t>PC</t>
        </is>
      </c>
      <c r="F169" s="17" t="inlineStr">
        <is>
          <t>East</t>
        </is>
      </c>
      <c r="G169" s="18" t="n">
        <v>45695</v>
      </c>
      <c r="H169" s="17" t="n">
        <v>24</v>
      </c>
      <c r="I169" s="17" t="n">
        <v>0</v>
      </c>
      <c r="J169" s="17" t="inlineStr">
        <is>
          <t>No Purchase</t>
        </is>
      </c>
      <c r="K169" s="17" t="inlineStr">
        <is>
          <t>Exited Early</t>
        </is>
      </c>
      <c r="L169" s="17" t="inlineStr">
        <is>
          <t>Free</t>
        </is>
      </c>
      <c r="M169" s="17" t="n">
        <v>45</v>
      </c>
      <c r="N169" s="17" t="inlineStr">
        <is>
          <t>No</t>
        </is>
      </c>
      <c r="O169" s="17">
        <f>TEXT(G169,"yyyy-mm")</f>
        <v/>
      </c>
      <c r="P169" s="17">
        <f>IF(H169&lt;20,"Low",IF(H169&lt;=60,"Medium","High"))</f>
        <v/>
      </c>
      <c r="Q169" s="17">
        <f>IF(I169&gt;0,"Yes","No")</f>
        <v/>
      </c>
      <c r="R169" s="17">
        <f>IF(N169="Yes",1,0)</f>
        <v/>
      </c>
      <c r="S169" s="17">
        <f>IF(N169=IF(OR(H169&gt;150,I169&gt;40),"Yes","No"),"Match","Mismatch")</f>
        <v/>
      </c>
    </row>
    <row r="170">
      <c r="A170" s="17" t="inlineStr">
        <is>
          <t>S00427</t>
        </is>
      </c>
      <c r="B170" s="17" t="inlineStr">
        <is>
          <t>P9104</t>
        </is>
      </c>
      <c r="C170" s="17" t="inlineStr">
        <is>
          <t>melissa17</t>
        </is>
      </c>
      <c r="D170" s="17" t="inlineStr">
        <is>
          <t>Zombie Rush</t>
        </is>
      </c>
      <c r="E170" s="17" t="inlineStr">
        <is>
          <t>PC</t>
        </is>
      </c>
      <c r="F170" s="17" t="inlineStr">
        <is>
          <t>Central</t>
        </is>
      </c>
      <c r="G170" s="18" t="n">
        <v>45695</v>
      </c>
      <c r="H170" s="17" t="n">
        <v>39</v>
      </c>
      <c r="I170" s="17" t="n">
        <v>0</v>
      </c>
      <c r="J170" s="17" t="inlineStr">
        <is>
          <t>No Purchase</t>
        </is>
      </c>
      <c r="K170" s="17" t="inlineStr">
        <is>
          <t>Completed</t>
        </is>
      </c>
      <c r="L170" s="17" t="inlineStr">
        <is>
          <t>Free</t>
        </is>
      </c>
      <c r="M170" s="17" t="n">
        <v>12</v>
      </c>
      <c r="N170" s="17" t="inlineStr">
        <is>
          <t>No</t>
        </is>
      </c>
      <c r="O170" s="17">
        <f>TEXT(G170,"yyyy-mm")</f>
        <v/>
      </c>
      <c r="P170" s="17">
        <f>IF(H170&lt;20,"Low",IF(H170&lt;=60,"Medium","High"))</f>
        <v/>
      </c>
      <c r="Q170" s="17">
        <f>IF(I170&gt;0,"Yes","No")</f>
        <v/>
      </c>
      <c r="R170" s="17">
        <f>IF(N170="Yes",1,0)</f>
        <v/>
      </c>
      <c r="S170" s="17">
        <f>IF(N170=IF(OR(H170&gt;150,I170&gt;40),"Yes","No"),"Match","Mismatch")</f>
        <v/>
      </c>
    </row>
    <row r="171">
      <c r="A171" s="17" t="inlineStr">
        <is>
          <t>S00153</t>
        </is>
      </c>
      <c r="B171" s="17" t="inlineStr">
        <is>
          <t>P4716</t>
        </is>
      </c>
      <c r="C171" s="17" t="inlineStr">
        <is>
          <t>jamie88</t>
        </is>
      </c>
      <c r="D171" s="17" t="inlineStr">
        <is>
          <t>Clash of Realms</t>
        </is>
      </c>
      <c r="E171" s="17" t="inlineStr">
        <is>
          <t>Console</t>
        </is>
      </c>
      <c r="F171" s="17" t="inlineStr">
        <is>
          <t>West</t>
        </is>
      </c>
      <c r="G171" s="18" t="n">
        <v>45695</v>
      </c>
      <c r="H171" s="17" t="n">
        <v>27</v>
      </c>
      <c r="I171" s="17" t="n">
        <v>2.64</v>
      </c>
      <c r="J171" s="17" t="inlineStr">
        <is>
          <t>Subscriptions</t>
        </is>
      </c>
      <c r="K171" s="17" t="inlineStr">
        <is>
          <t>Completed</t>
        </is>
      </c>
      <c r="L171" s="17" t="inlineStr">
        <is>
          <t>Paid</t>
        </is>
      </c>
      <c r="M171" s="17" t="n">
        <v>3</v>
      </c>
      <c r="N171" s="17" t="inlineStr">
        <is>
          <t>No</t>
        </is>
      </c>
      <c r="O171" s="17">
        <f>TEXT(G171,"yyyy-mm")</f>
        <v/>
      </c>
      <c r="P171" s="17">
        <f>IF(H171&lt;20,"Low",IF(H171&lt;=60,"Medium","High"))</f>
        <v/>
      </c>
      <c r="Q171" s="17">
        <f>IF(I171&gt;0,"Yes","No")</f>
        <v/>
      </c>
      <c r="R171" s="17">
        <f>IF(N171="Yes",1,0)</f>
        <v/>
      </c>
      <c r="S171" s="17">
        <f>IF(N171=IF(OR(H171&gt;150,I171&gt;40),"Yes","No"),"Match","Mismatch")</f>
        <v/>
      </c>
    </row>
    <row r="172">
      <c r="A172" s="17" t="inlineStr">
        <is>
          <t>S00351</t>
        </is>
      </c>
      <c r="B172" s="17" t="inlineStr">
        <is>
          <t>P7887</t>
        </is>
      </c>
      <c r="C172" s="17" t="inlineStr">
        <is>
          <t>nicholas09</t>
        </is>
      </c>
      <c r="D172" s="17" t="inlineStr">
        <is>
          <t>SpeedX</t>
        </is>
      </c>
      <c r="E172" s="17" t="inlineStr">
        <is>
          <t>Console</t>
        </is>
      </c>
      <c r="F172" s="17" t="inlineStr">
        <is>
          <t>West</t>
        </is>
      </c>
      <c r="G172" s="18" t="n">
        <v>45696</v>
      </c>
      <c r="H172" s="17" t="n">
        <v>21</v>
      </c>
      <c r="I172" s="17" t="n">
        <v>0</v>
      </c>
      <c r="J172" s="17" t="inlineStr">
        <is>
          <t>No Purchase</t>
        </is>
      </c>
      <c r="K172" s="17" t="inlineStr">
        <is>
          <t>Completed</t>
        </is>
      </c>
      <c r="L172" s="17" t="inlineStr">
        <is>
          <t>Free</t>
        </is>
      </c>
      <c r="M172" s="17" t="n">
        <v>46</v>
      </c>
      <c r="N172" s="17" t="inlineStr">
        <is>
          <t>No</t>
        </is>
      </c>
      <c r="O172" s="17">
        <f>TEXT(G172,"yyyy-mm")</f>
        <v/>
      </c>
      <c r="P172" s="17">
        <f>IF(H172&lt;20,"Low",IF(H172&lt;=60,"Medium","High"))</f>
        <v/>
      </c>
      <c r="Q172" s="17">
        <f>IF(I172&gt;0,"Yes","No")</f>
        <v/>
      </c>
      <c r="R172" s="17">
        <f>IF(N172="Yes",1,0)</f>
        <v/>
      </c>
      <c r="S172" s="17">
        <f>IF(N172=IF(OR(H172&gt;150,I172&gt;40),"Yes","No"),"Match","Mismatch")</f>
        <v/>
      </c>
    </row>
    <row r="173">
      <c r="A173" s="17" t="inlineStr">
        <is>
          <t>S00408</t>
        </is>
      </c>
      <c r="B173" s="17" t="inlineStr">
        <is>
          <t>P9402</t>
        </is>
      </c>
      <c r="C173" s="17" t="inlineStr">
        <is>
          <t>hoffmandaniel</t>
        </is>
      </c>
      <c r="D173" s="17" t="inlineStr">
        <is>
          <t>SpeedX</t>
        </is>
      </c>
      <c r="E173" s="17" t="inlineStr">
        <is>
          <t>Console</t>
        </is>
      </c>
      <c r="F173" s="17" t="inlineStr">
        <is>
          <t>East</t>
        </is>
      </c>
      <c r="G173" s="18" t="n">
        <v>45696</v>
      </c>
      <c r="H173" s="17" t="n">
        <v>144</v>
      </c>
      <c r="I173" s="17" t="n">
        <v>0</v>
      </c>
      <c r="J173" s="17" t="inlineStr">
        <is>
          <t>No Purchase</t>
        </is>
      </c>
      <c r="K173" s="17" t="inlineStr">
        <is>
          <t>Incomplete</t>
        </is>
      </c>
      <c r="L173" s="17" t="inlineStr">
        <is>
          <t>Free</t>
        </is>
      </c>
      <c r="M173" s="17" t="n">
        <v>36</v>
      </c>
      <c r="N173" s="17" t="inlineStr">
        <is>
          <t>No</t>
        </is>
      </c>
      <c r="O173" s="17">
        <f>TEXT(G173,"yyyy-mm")</f>
        <v/>
      </c>
      <c r="P173" s="17">
        <f>IF(H173&lt;20,"Low",IF(H173&lt;=60,"Medium","High"))</f>
        <v/>
      </c>
      <c r="Q173" s="17">
        <f>IF(I173&gt;0,"Yes","No")</f>
        <v/>
      </c>
      <c r="R173" s="17">
        <f>IF(N173="Yes",1,0)</f>
        <v/>
      </c>
      <c r="S173" s="17">
        <f>IF(N173=IF(OR(H173&gt;150,I173&gt;40),"Yes","No"),"Match","Mismatch")</f>
        <v/>
      </c>
    </row>
    <row r="174">
      <c r="A174" s="17" t="inlineStr">
        <is>
          <t>S00001</t>
        </is>
      </c>
      <c r="B174" s="17" t="inlineStr">
        <is>
          <t>P3652</t>
        </is>
      </c>
      <c r="C174" s="17" t="inlineStr">
        <is>
          <t>harrisrichard</t>
        </is>
      </c>
      <c r="D174" s="17" t="inlineStr">
        <is>
          <t>BattleZone</t>
        </is>
      </c>
      <c r="E174" s="17" t="inlineStr">
        <is>
          <t>Console</t>
        </is>
      </c>
      <c r="F174" s="17" t="inlineStr">
        <is>
          <t>East</t>
        </is>
      </c>
      <c r="G174" s="18" t="n">
        <v>45696</v>
      </c>
      <c r="H174" s="17" t="n">
        <v>179</v>
      </c>
      <c r="I174" s="17" t="n">
        <v>0</v>
      </c>
      <c r="J174" s="17" t="inlineStr">
        <is>
          <t>No Purchase</t>
        </is>
      </c>
      <c r="K174" s="17" t="inlineStr">
        <is>
          <t>Completed</t>
        </is>
      </c>
      <c r="L174" s="17" t="inlineStr">
        <is>
          <t>Free</t>
        </is>
      </c>
      <c r="M174" s="17" t="n">
        <v>42</v>
      </c>
      <c r="N174" s="17" t="inlineStr">
        <is>
          <t>Yes</t>
        </is>
      </c>
      <c r="O174" s="17">
        <f>TEXT(G174,"yyyy-mm")</f>
        <v/>
      </c>
      <c r="P174" s="17">
        <f>IF(H174&lt;20,"Low",IF(H174&lt;=60,"Medium","High"))</f>
        <v/>
      </c>
      <c r="Q174" s="17">
        <f>IF(I174&gt;0,"Yes","No")</f>
        <v/>
      </c>
      <c r="R174" s="17">
        <f>IF(N174="Yes",1,0)</f>
        <v/>
      </c>
      <c r="S174" s="17">
        <f>IF(N174=IF(OR(H174&gt;150,I174&gt;40),"Yes","No"),"Match","Mismatch")</f>
        <v/>
      </c>
    </row>
    <row r="175">
      <c r="A175" s="17" t="inlineStr">
        <is>
          <t>S00033</t>
        </is>
      </c>
      <c r="B175" s="17" t="inlineStr">
        <is>
          <t>P4554</t>
        </is>
      </c>
      <c r="C175" s="17" t="inlineStr">
        <is>
          <t>odavis</t>
        </is>
      </c>
      <c r="D175" s="17" t="inlineStr">
        <is>
          <t>Clash of Realms</t>
        </is>
      </c>
      <c r="E175" s="17" t="inlineStr">
        <is>
          <t>PC</t>
        </is>
      </c>
      <c r="F175" s="17" t="inlineStr">
        <is>
          <t>North-East</t>
        </is>
      </c>
      <c r="G175" s="18" t="n">
        <v>45696</v>
      </c>
      <c r="H175" s="17" t="n">
        <v>165</v>
      </c>
      <c r="I175" s="17" t="n">
        <v>0</v>
      </c>
      <c r="J175" s="17" t="inlineStr">
        <is>
          <t>No Purchase</t>
        </is>
      </c>
      <c r="K175" s="17" t="inlineStr">
        <is>
          <t>Completed</t>
        </is>
      </c>
      <c r="L175" s="17" t="inlineStr">
        <is>
          <t>Free</t>
        </is>
      </c>
      <c r="M175" s="17" t="n">
        <v>23</v>
      </c>
      <c r="N175" s="17" t="inlineStr">
        <is>
          <t>Yes</t>
        </is>
      </c>
      <c r="O175" s="17">
        <f>TEXT(G175,"yyyy-mm")</f>
        <v/>
      </c>
      <c r="P175" s="17">
        <f>IF(H175&lt;20,"Low",IF(H175&lt;=60,"Medium","High"))</f>
        <v/>
      </c>
      <c r="Q175" s="17">
        <f>IF(I175&gt;0,"Yes","No")</f>
        <v/>
      </c>
      <c r="R175" s="17">
        <f>IF(N175="Yes",1,0)</f>
        <v/>
      </c>
      <c r="S175" s="17">
        <f>IF(N175=IF(OR(H175&gt;150,I175&gt;40),"Yes","No"),"Match","Mismatch")</f>
        <v/>
      </c>
    </row>
    <row r="176">
      <c r="A176" s="17" t="inlineStr">
        <is>
          <t>S00405</t>
        </is>
      </c>
      <c r="B176" s="17" t="inlineStr">
        <is>
          <t>P6700</t>
        </is>
      </c>
      <c r="C176" s="17" t="inlineStr">
        <is>
          <t>armstrongmary</t>
        </is>
      </c>
      <c r="D176" s="17" t="inlineStr">
        <is>
          <t>Clash of Realms</t>
        </is>
      </c>
      <c r="E176" s="17" t="inlineStr">
        <is>
          <t>Console</t>
        </is>
      </c>
      <c r="F176" s="17" t="inlineStr">
        <is>
          <t>North</t>
        </is>
      </c>
      <c r="G176" s="18" t="n">
        <v>45700</v>
      </c>
      <c r="H176" s="17" t="n">
        <v>111</v>
      </c>
      <c r="I176" s="17" t="n">
        <v>0</v>
      </c>
      <c r="J176" s="17" t="inlineStr">
        <is>
          <t>No Purchase</t>
        </is>
      </c>
      <c r="K176" s="17" t="inlineStr">
        <is>
          <t>Completed</t>
        </is>
      </c>
      <c r="L176" s="17" t="inlineStr">
        <is>
          <t>Free</t>
        </is>
      </c>
      <c r="M176" s="17" t="n">
        <v>26</v>
      </c>
      <c r="N176" s="17" t="inlineStr">
        <is>
          <t>No</t>
        </is>
      </c>
      <c r="O176" s="17">
        <f>TEXT(G176,"yyyy-mm")</f>
        <v/>
      </c>
      <c r="P176" s="17">
        <f>IF(H176&lt;20,"Low",IF(H176&lt;=60,"Medium","High"))</f>
        <v/>
      </c>
      <c r="Q176" s="17">
        <f>IF(I176&gt;0,"Yes","No")</f>
        <v/>
      </c>
      <c r="R176" s="17">
        <f>IF(N176="Yes",1,0)</f>
        <v/>
      </c>
      <c r="S176" s="17">
        <f>IF(N176=IF(OR(H176&gt;150,I176&gt;40),"Yes","No"),"Match","Mismatch")</f>
        <v/>
      </c>
    </row>
    <row r="177">
      <c r="A177" s="17" t="inlineStr">
        <is>
          <t>S00158</t>
        </is>
      </c>
      <c r="B177" s="17" t="inlineStr">
        <is>
          <t>P4783</t>
        </is>
      </c>
      <c r="C177" s="17" t="inlineStr">
        <is>
          <t>gsmith</t>
        </is>
      </c>
      <c r="D177" s="17" t="inlineStr">
        <is>
          <t>Empire Wars</t>
        </is>
      </c>
      <c r="E177" s="17" t="inlineStr">
        <is>
          <t>Console</t>
        </is>
      </c>
      <c r="F177" s="17" t="inlineStr">
        <is>
          <t>West</t>
        </is>
      </c>
      <c r="G177" s="18" t="n">
        <v>45700</v>
      </c>
      <c r="H177" s="17" t="n">
        <v>79</v>
      </c>
      <c r="I177" s="17" t="n">
        <v>0</v>
      </c>
      <c r="J177" s="17" t="inlineStr">
        <is>
          <t>No Purchase</t>
        </is>
      </c>
      <c r="K177" s="17" t="inlineStr">
        <is>
          <t>Completed</t>
        </is>
      </c>
      <c r="L177" s="17" t="inlineStr">
        <is>
          <t>Free</t>
        </is>
      </c>
      <c r="M177" s="17" t="n">
        <v>44</v>
      </c>
      <c r="N177" s="17" t="inlineStr">
        <is>
          <t>No</t>
        </is>
      </c>
      <c r="O177" s="17">
        <f>TEXT(G177,"yyyy-mm")</f>
        <v/>
      </c>
      <c r="P177" s="17">
        <f>IF(H177&lt;20,"Low",IF(H177&lt;=60,"Medium","High"))</f>
        <v/>
      </c>
      <c r="Q177" s="17">
        <f>IF(I177&gt;0,"Yes","No")</f>
        <v/>
      </c>
      <c r="R177" s="17">
        <f>IF(N177="Yes",1,0)</f>
        <v/>
      </c>
      <c r="S177" s="17">
        <f>IF(N177=IF(OR(H177&gt;150,I177&gt;40),"Yes","No"),"Match","Mismatch")</f>
        <v/>
      </c>
    </row>
    <row r="178">
      <c r="A178" s="17" t="inlineStr">
        <is>
          <t>S00160</t>
        </is>
      </c>
      <c r="B178" s="17" t="inlineStr">
        <is>
          <t>P5207</t>
        </is>
      </c>
      <c r="C178" s="17" t="inlineStr">
        <is>
          <t>courtneycarr</t>
        </is>
      </c>
      <c r="D178" s="17" t="inlineStr">
        <is>
          <t>Empire Wars</t>
        </is>
      </c>
      <c r="E178" s="17" t="inlineStr">
        <is>
          <t>Mobile</t>
        </is>
      </c>
      <c r="F178" s="17" t="inlineStr">
        <is>
          <t>North</t>
        </is>
      </c>
      <c r="G178" s="18" t="n">
        <v>45700</v>
      </c>
      <c r="H178" s="17" t="n">
        <v>57</v>
      </c>
      <c r="I178" s="17" t="n">
        <v>0</v>
      </c>
      <c r="J178" s="17" t="inlineStr">
        <is>
          <t>No Purchase</t>
        </is>
      </c>
      <c r="K178" s="17" t="inlineStr">
        <is>
          <t>Completed</t>
        </is>
      </c>
      <c r="L178" s="17" t="inlineStr">
        <is>
          <t>Free</t>
        </is>
      </c>
      <c r="M178" s="17" t="n">
        <v>13</v>
      </c>
      <c r="N178" s="17" t="inlineStr">
        <is>
          <t>No</t>
        </is>
      </c>
      <c r="O178" s="17">
        <f>TEXT(G178,"yyyy-mm")</f>
        <v/>
      </c>
      <c r="P178" s="17">
        <f>IF(H178&lt;20,"Low",IF(H178&lt;=60,"Medium","High"))</f>
        <v/>
      </c>
      <c r="Q178" s="17">
        <f>IF(I178&gt;0,"Yes","No")</f>
        <v/>
      </c>
      <c r="R178" s="17">
        <f>IF(N178="Yes",1,0)</f>
        <v/>
      </c>
      <c r="S178" s="17">
        <f>IF(N178=IF(OR(H178&gt;150,I178&gt;40),"Yes","No"),"Match","Mismatch")</f>
        <v/>
      </c>
    </row>
    <row r="179">
      <c r="A179" s="17" t="inlineStr">
        <is>
          <t>S00423</t>
        </is>
      </c>
      <c r="B179" s="17" t="inlineStr">
        <is>
          <t>P8641</t>
        </is>
      </c>
      <c r="C179" s="17" t="inlineStr">
        <is>
          <t>johnsonandrea</t>
        </is>
      </c>
      <c r="D179" s="17" t="inlineStr">
        <is>
          <t>SpeedX</t>
        </is>
      </c>
      <c r="E179" s="17" t="inlineStr">
        <is>
          <t>Console</t>
        </is>
      </c>
      <c r="F179" s="17" t="inlineStr">
        <is>
          <t>South</t>
        </is>
      </c>
      <c r="G179" s="18" t="n">
        <v>45700</v>
      </c>
      <c r="H179" s="17" t="n">
        <v>166</v>
      </c>
      <c r="I179" s="17" t="n">
        <v>0</v>
      </c>
      <c r="J179" s="17" t="inlineStr">
        <is>
          <t>No Purchase</t>
        </is>
      </c>
      <c r="K179" s="17" t="inlineStr">
        <is>
          <t>Completed</t>
        </is>
      </c>
      <c r="L179" s="17" t="inlineStr">
        <is>
          <t>Free</t>
        </is>
      </c>
      <c r="M179" s="17" t="n">
        <v>43</v>
      </c>
      <c r="N179" s="17" t="inlineStr">
        <is>
          <t>Yes</t>
        </is>
      </c>
      <c r="O179" s="17">
        <f>TEXT(G179,"yyyy-mm")</f>
        <v/>
      </c>
      <c r="P179" s="17">
        <f>IF(H179&lt;20,"Low",IF(H179&lt;=60,"Medium","High"))</f>
        <v/>
      </c>
      <c r="Q179" s="17">
        <f>IF(I179&gt;0,"Yes","No")</f>
        <v/>
      </c>
      <c r="R179" s="17">
        <f>IF(N179="Yes",1,0)</f>
        <v/>
      </c>
      <c r="S179" s="17">
        <f>IF(N179=IF(OR(H179&gt;150,I179&gt;40),"Yes","No"),"Match","Mismatch")</f>
        <v/>
      </c>
    </row>
    <row r="180">
      <c r="A180" s="17" t="inlineStr">
        <is>
          <t>S00162</t>
        </is>
      </c>
      <c r="B180" s="17" t="inlineStr">
        <is>
          <t>P9575</t>
        </is>
      </c>
      <c r="C180" s="17" t="inlineStr">
        <is>
          <t>robertsoncynthia</t>
        </is>
      </c>
      <c r="D180" s="17" t="inlineStr">
        <is>
          <t>Empire Wars</t>
        </is>
      </c>
      <c r="E180" s="17" t="inlineStr">
        <is>
          <t>Mobile</t>
        </is>
      </c>
      <c r="F180" s="17" t="inlineStr">
        <is>
          <t>North-East</t>
        </is>
      </c>
      <c r="G180" s="18" t="n">
        <v>45701</v>
      </c>
      <c r="H180" s="17" t="n">
        <v>8</v>
      </c>
      <c r="I180" s="17" t="n">
        <v>0</v>
      </c>
      <c r="J180" s="17" t="inlineStr">
        <is>
          <t>No Purchase</t>
        </is>
      </c>
      <c r="K180" s="17" t="inlineStr">
        <is>
          <t>Exited Early</t>
        </is>
      </c>
      <c r="L180" s="17" t="inlineStr">
        <is>
          <t>Free</t>
        </is>
      </c>
      <c r="M180" s="17" t="n">
        <v>31</v>
      </c>
      <c r="N180" s="17" t="inlineStr">
        <is>
          <t>No</t>
        </is>
      </c>
      <c r="O180" s="17">
        <f>TEXT(G180,"yyyy-mm")</f>
        <v/>
      </c>
      <c r="P180" s="17">
        <f>IF(H180&lt;20,"Low",IF(H180&lt;=60,"Medium","High"))</f>
        <v/>
      </c>
      <c r="Q180" s="17">
        <f>IF(I180&gt;0,"Yes","No")</f>
        <v/>
      </c>
      <c r="R180" s="17">
        <f>IF(N180="Yes",1,0)</f>
        <v/>
      </c>
      <c r="S180" s="17">
        <f>IF(N180=IF(OR(H180&gt;150,I180&gt;40),"Yes","No"),"Match","Mismatch")</f>
        <v/>
      </c>
    </row>
    <row r="181">
      <c r="A181" s="17" t="inlineStr">
        <is>
          <t>S00410</t>
        </is>
      </c>
      <c r="B181" s="17" t="inlineStr">
        <is>
          <t>P2497</t>
        </is>
      </c>
      <c r="C181" s="17" t="inlineStr">
        <is>
          <t>thomas01</t>
        </is>
      </c>
      <c r="D181" s="17" t="inlineStr">
        <is>
          <t>Empire Wars</t>
        </is>
      </c>
      <c r="E181" s="17" t="inlineStr">
        <is>
          <t>Console</t>
        </is>
      </c>
      <c r="F181" s="17" t="inlineStr">
        <is>
          <t>North-East</t>
        </is>
      </c>
      <c r="G181" s="18" t="n">
        <v>45701</v>
      </c>
      <c r="H181" s="17" t="n">
        <v>154</v>
      </c>
      <c r="I181" s="17" t="n">
        <v>0</v>
      </c>
      <c r="J181" s="17" t="inlineStr">
        <is>
          <t>No Purchase</t>
        </is>
      </c>
      <c r="K181" s="17" t="inlineStr">
        <is>
          <t>Completed</t>
        </is>
      </c>
      <c r="L181" s="17" t="inlineStr">
        <is>
          <t>Free</t>
        </is>
      </c>
      <c r="M181" s="17" t="n">
        <v>27</v>
      </c>
      <c r="N181" s="17" t="inlineStr">
        <is>
          <t>Yes</t>
        </is>
      </c>
      <c r="O181" s="17">
        <f>TEXT(G181,"yyyy-mm")</f>
        <v/>
      </c>
      <c r="P181" s="17">
        <f>IF(H181&lt;20,"Low",IF(H181&lt;=60,"Medium","High"))</f>
        <v/>
      </c>
      <c r="Q181" s="17">
        <f>IF(I181&gt;0,"Yes","No")</f>
        <v/>
      </c>
      <c r="R181" s="17">
        <f>IF(N181="Yes",1,0)</f>
        <v/>
      </c>
      <c r="S181" s="17">
        <f>IF(N181=IF(OR(H181&gt;150,I181&gt;40),"Yes","No"),"Match","Mismatch")</f>
        <v/>
      </c>
    </row>
    <row r="182">
      <c r="A182" s="17" t="inlineStr">
        <is>
          <t>S00407</t>
        </is>
      </c>
      <c r="B182" s="17" t="inlineStr">
        <is>
          <t>P8156</t>
        </is>
      </c>
      <c r="C182" s="17" t="inlineStr">
        <is>
          <t>melissaphillips</t>
        </is>
      </c>
      <c r="D182" s="17" t="inlineStr">
        <is>
          <t>BattleZone</t>
        </is>
      </c>
      <c r="E182" s="17" t="inlineStr">
        <is>
          <t>Mobile</t>
        </is>
      </c>
      <c r="F182" s="17" t="inlineStr">
        <is>
          <t>North-East</t>
        </is>
      </c>
      <c r="G182" s="18" t="n">
        <v>45701</v>
      </c>
      <c r="H182" s="17" t="n">
        <v>111</v>
      </c>
      <c r="I182" s="17" t="n">
        <v>46.08</v>
      </c>
      <c r="J182" s="17" t="inlineStr">
        <is>
          <t>Boosters</t>
        </is>
      </c>
      <c r="K182" s="17" t="inlineStr">
        <is>
          <t>Crashed</t>
        </is>
      </c>
      <c r="L182" s="17" t="inlineStr">
        <is>
          <t>Paid</t>
        </is>
      </c>
      <c r="M182" s="17" t="n">
        <v>15</v>
      </c>
      <c r="N182" s="17" t="inlineStr">
        <is>
          <t>Yes</t>
        </is>
      </c>
      <c r="O182" s="17">
        <f>TEXT(G182,"yyyy-mm")</f>
        <v/>
      </c>
      <c r="P182" s="17">
        <f>IF(H182&lt;20,"Low",IF(H182&lt;=60,"Medium","High"))</f>
        <v/>
      </c>
      <c r="Q182" s="17">
        <f>IF(I182&gt;0,"Yes","No")</f>
        <v/>
      </c>
      <c r="R182" s="17">
        <f>IF(N182="Yes",1,0)</f>
        <v/>
      </c>
      <c r="S182" s="17">
        <f>IF(N182=IF(OR(H182&gt;150,I182&gt;40),"Yes","No"),"Match","Mismatch")</f>
        <v/>
      </c>
    </row>
    <row r="183">
      <c r="A183" s="17" t="inlineStr">
        <is>
          <t>S00039</t>
        </is>
      </c>
      <c r="B183" s="17" t="inlineStr">
        <is>
          <t>P3668</t>
        </is>
      </c>
      <c r="C183" s="17" t="inlineStr">
        <is>
          <t>jenniferwilcox</t>
        </is>
      </c>
      <c r="D183" s="17" t="inlineStr">
        <is>
          <t>SpeedX</t>
        </is>
      </c>
      <c r="E183" s="17" t="inlineStr">
        <is>
          <t>Mobile</t>
        </is>
      </c>
      <c r="F183" s="17" t="inlineStr">
        <is>
          <t>Central</t>
        </is>
      </c>
      <c r="G183" s="18" t="n">
        <v>45702</v>
      </c>
      <c r="H183" s="17" t="n">
        <v>154</v>
      </c>
      <c r="I183" s="17" t="n">
        <v>0</v>
      </c>
      <c r="J183" s="17" t="inlineStr">
        <is>
          <t>No Purchase</t>
        </is>
      </c>
      <c r="K183" s="17" t="inlineStr">
        <is>
          <t>Completed</t>
        </is>
      </c>
      <c r="L183" s="17" t="inlineStr">
        <is>
          <t>Free</t>
        </is>
      </c>
      <c r="M183" s="17" t="n">
        <v>44</v>
      </c>
      <c r="N183" s="17" t="inlineStr">
        <is>
          <t>Yes</t>
        </is>
      </c>
      <c r="O183" s="17">
        <f>TEXT(G183,"yyyy-mm")</f>
        <v/>
      </c>
      <c r="P183" s="17">
        <f>IF(H183&lt;20,"Low",IF(H183&lt;=60,"Medium","High"))</f>
        <v/>
      </c>
      <c r="Q183" s="17">
        <f>IF(I183&gt;0,"Yes","No")</f>
        <v/>
      </c>
      <c r="R183" s="17">
        <f>IF(N183="Yes",1,0)</f>
        <v/>
      </c>
      <c r="S183" s="17">
        <f>IF(N183=IF(OR(H183&gt;150,I183&gt;40),"Yes","No"),"Match","Mismatch")</f>
        <v/>
      </c>
    </row>
    <row r="184">
      <c r="A184" s="17" t="inlineStr">
        <is>
          <t>S00020</t>
        </is>
      </c>
      <c r="B184" s="17" t="inlineStr">
        <is>
          <t>P6549</t>
        </is>
      </c>
      <c r="C184" s="17" t="inlineStr">
        <is>
          <t>michael06</t>
        </is>
      </c>
      <c r="D184" s="17" t="inlineStr">
        <is>
          <t>Zombie Rush</t>
        </is>
      </c>
      <c r="E184" s="17" t="inlineStr">
        <is>
          <t>Mobile</t>
        </is>
      </c>
      <c r="F184" s="17" t="inlineStr">
        <is>
          <t>Central</t>
        </is>
      </c>
      <c r="G184" s="18" t="n">
        <v>45702</v>
      </c>
      <c r="H184" s="17" t="n">
        <v>94</v>
      </c>
      <c r="I184" s="17" t="n">
        <v>0</v>
      </c>
      <c r="J184" s="17" t="inlineStr">
        <is>
          <t>No Purchase</t>
        </is>
      </c>
      <c r="K184" s="17" t="inlineStr">
        <is>
          <t>Crashed</t>
        </is>
      </c>
      <c r="L184" s="17" t="inlineStr">
        <is>
          <t>Free</t>
        </is>
      </c>
      <c r="M184" s="17" t="n">
        <v>48</v>
      </c>
      <c r="N184" s="17" t="inlineStr">
        <is>
          <t>No</t>
        </is>
      </c>
      <c r="O184" s="17">
        <f>TEXT(G184,"yyyy-mm")</f>
        <v/>
      </c>
      <c r="P184" s="17">
        <f>IF(H184&lt;20,"Low",IF(H184&lt;=60,"Medium","High"))</f>
        <v/>
      </c>
      <c r="Q184" s="17">
        <f>IF(I184&gt;0,"Yes","No")</f>
        <v/>
      </c>
      <c r="R184" s="17">
        <f>IF(N184="Yes",1,0)</f>
        <v/>
      </c>
      <c r="S184" s="17">
        <f>IF(N184=IF(OR(H184&gt;150,I184&gt;40),"Yes","No"),"Match","Mismatch")</f>
        <v/>
      </c>
    </row>
    <row r="185">
      <c r="A185" s="17" t="inlineStr">
        <is>
          <t>S00331</t>
        </is>
      </c>
      <c r="B185" s="17" t="inlineStr">
        <is>
          <t>P1496</t>
        </is>
      </c>
      <c r="C185" s="17" t="inlineStr">
        <is>
          <t>newtonjose</t>
        </is>
      </c>
      <c r="D185" s="17" t="inlineStr">
        <is>
          <t>BattleZone</t>
        </is>
      </c>
      <c r="E185" s="17" t="inlineStr">
        <is>
          <t>PC</t>
        </is>
      </c>
      <c r="F185" s="17" t="inlineStr">
        <is>
          <t>South</t>
        </is>
      </c>
      <c r="G185" s="18" t="n">
        <v>45702</v>
      </c>
      <c r="H185" s="17" t="n">
        <v>30</v>
      </c>
      <c r="I185" s="17" t="n">
        <v>36.8</v>
      </c>
      <c r="J185" s="17" t="inlineStr">
        <is>
          <t>Skins</t>
        </is>
      </c>
      <c r="K185" s="17" t="inlineStr">
        <is>
          <t>Exited Early</t>
        </is>
      </c>
      <c r="L185" s="17" t="inlineStr">
        <is>
          <t>Paid</t>
        </is>
      </c>
      <c r="M185" s="17" t="n">
        <v>24</v>
      </c>
      <c r="N185" s="17" t="inlineStr">
        <is>
          <t>No</t>
        </is>
      </c>
      <c r="O185" s="17">
        <f>TEXT(G185,"yyyy-mm")</f>
        <v/>
      </c>
      <c r="P185" s="17">
        <f>IF(H185&lt;20,"Low",IF(H185&lt;=60,"Medium","High"))</f>
        <v/>
      </c>
      <c r="Q185" s="17">
        <f>IF(I185&gt;0,"Yes","No")</f>
        <v/>
      </c>
      <c r="R185" s="17">
        <f>IF(N185="Yes",1,0)</f>
        <v/>
      </c>
      <c r="S185" s="17">
        <f>IF(N185=IF(OR(H185&gt;150,I185&gt;40),"Yes","No"),"Match","Mismatch")</f>
        <v/>
      </c>
    </row>
    <row r="186">
      <c r="A186" s="17" t="inlineStr">
        <is>
          <t>S00497</t>
        </is>
      </c>
      <c r="B186" s="17" t="inlineStr">
        <is>
          <t>P1457</t>
        </is>
      </c>
      <c r="C186" s="17" t="inlineStr">
        <is>
          <t>turnersusan</t>
        </is>
      </c>
      <c r="D186" s="17" t="inlineStr">
        <is>
          <t>Empire Wars</t>
        </is>
      </c>
      <c r="E186" s="17" t="inlineStr">
        <is>
          <t>Mobile</t>
        </is>
      </c>
      <c r="F186" s="17" t="inlineStr">
        <is>
          <t>West</t>
        </is>
      </c>
      <c r="G186" s="18" t="n">
        <v>45702</v>
      </c>
      <c r="H186" s="17" t="n">
        <v>157</v>
      </c>
      <c r="I186" s="17" t="n">
        <v>26.84</v>
      </c>
      <c r="J186" s="17" t="inlineStr">
        <is>
          <t>Boosters</t>
        </is>
      </c>
      <c r="K186" s="17" t="inlineStr">
        <is>
          <t>Completed</t>
        </is>
      </c>
      <c r="L186" s="17" t="inlineStr">
        <is>
          <t>Paid</t>
        </is>
      </c>
      <c r="M186" s="17" t="n">
        <v>25</v>
      </c>
      <c r="N186" s="17" t="inlineStr">
        <is>
          <t>Yes</t>
        </is>
      </c>
      <c r="O186" s="17">
        <f>TEXT(G186,"yyyy-mm")</f>
        <v/>
      </c>
      <c r="P186" s="17">
        <f>IF(H186&lt;20,"Low",IF(H186&lt;=60,"Medium","High"))</f>
        <v/>
      </c>
      <c r="Q186" s="17">
        <f>IF(I186&gt;0,"Yes","No")</f>
        <v/>
      </c>
      <c r="R186" s="17">
        <f>IF(N186="Yes",1,0)</f>
        <v/>
      </c>
      <c r="S186" s="17">
        <f>IF(N186=IF(OR(H186&gt;150,I186&gt;40),"Yes","No"),"Match","Mismatch")</f>
        <v/>
      </c>
    </row>
    <row r="187">
      <c r="A187" s="17" t="inlineStr">
        <is>
          <t>S00339</t>
        </is>
      </c>
      <c r="B187" s="17" t="inlineStr">
        <is>
          <t>P1806</t>
        </is>
      </c>
      <c r="C187" s="17" t="inlineStr">
        <is>
          <t>michael88</t>
        </is>
      </c>
      <c r="D187" s="17" t="inlineStr">
        <is>
          <t>Empire Wars</t>
        </is>
      </c>
      <c r="E187" s="17" t="inlineStr">
        <is>
          <t>PC</t>
        </is>
      </c>
      <c r="F187" s="17" t="inlineStr">
        <is>
          <t>West</t>
        </is>
      </c>
      <c r="G187" s="18" t="n">
        <v>45703</v>
      </c>
      <c r="H187" s="17" t="n">
        <v>22</v>
      </c>
      <c r="I187" s="17" t="n">
        <v>0</v>
      </c>
      <c r="J187" s="17" t="inlineStr">
        <is>
          <t>No Purchase</t>
        </is>
      </c>
      <c r="K187" s="17" t="inlineStr">
        <is>
          <t>Completed</t>
        </is>
      </c>
      <c r="L187" s="17" t="inlineStr">
        <is>
          <t>Free</t>
        </is>
      </c>
      <c r="M187" s="17" t="n">
        <v>34</v>
      </c>
      <c r="N187" s="17" t="inlineStr">
        <is>
          <t>No</t>
        </is>
      </c>
      <c r="O187" s="17">
        <f>TEXT(G187,"yyyy-mm")</f>
        <v/>
      </c>
      <c r="P187" s="17">
        <f>IF(H187&lt;20,"Low",IF(H187&lt;=60,"Medium","High"))</f>
        <v/>
      </c>
      <c r="Q187" s="17">
        <f>IF(I187&gt;0,"Yes","No")</f>
        <v/>
      </c>
      <c r="R187" s="17">
        <f>IF(N187="Yes",1,0)</f>
        <v/>
      </c>
      <c r="S187" s="17">
        <f>IF(N187=IF(OR(H187&gt;150,I187&gt;40),"Yes","No"),"Match","Mismatch")</f>
        <v/>
      </c>
    </row>
    <row r="188">
      <c r="A188" s="17" t="inlineStr">
        <is>
          <t>S00237</t>
        </is>
      </c>
      <c r="B188" s="17" t="inlineStr">
        <is>
          <t>P4427</t>
        </is>
      </c>
      <c r="C188" s="17" t="inlineStr">
        <is>
          <t>nelsonbrandon</t>
        </is>
      </c>
      <c r="D188" s="17" t="inlineStr">
        <is>
          <t>SpeedX</t>
        </is>
      </c>
      <c r="E188" s="17" t="inlineStr">
        <is>
          <t>PC</t>
        </is>
      </c>
      <c r="F188" s="17" t="inlineStr">
        <is>
          <t>North-East</t>
        </is>
      </c>
      <c r="G188" s="18" t="n">
        <v>45703</v>
      </c>
      <c r="H188" s="17" t="n">
        <v>26</v>
      </c>
      <c r="I188" s="17" t="n">
        <v>11.67</v>
      </c>
      <c r="J188" s="17" t="inlineStr">
        <is>
          <t>Boosters</t>
        </is>
      </c>
      <c r="K188" s="17" t="inlineStr">
        <is>
          <t>Completed</t>
        </is>
      </c>
      <c r="L188" s="17" t="inlineStr">
        <is>
          <t>Paid</t>
        </is>
      </c>
      <c r="M188" s="17" t="n">
        <v>49</v>
      </c>
      <c r="N188" s="17" t="inlineStr">
        <is>
          <t>No</t>
        </is>
      </c>
      <c r="O188" s="17">
        <f>TEXT(G188,"yyyy-mm")</f>
        <v/>
      </c>
      <c r="P188" s="17">
        <f>IF(H188&lt;20,"Low",IF(H188&lt;=60,"Medium","High"))</f>
        <v/>
      </c>
      <c r="Q188" s="17">
        <f>IF(I188&gt;0,"Yes","No")</f>
        <v/>
      </c>
      <c r="R188" s="17">
        <f>IF(N188="Yes",1,0)</f>
        <v/>
      </c>
      <c r="S188" s="17">
        <f>IF(N188=IF(OR(H188&gt;150,I188&gt;40),"Yes","No"),"Match","Mismatch")</f>
        <v/>
      </c>
    </row>
    <row r="189">
      <c r="A189" s="17" t="inlineStr">
        <is>
          <t>S00115</t>
        </is>
      </c>
      <c r="B189" s="17" t="inlineStr">
        <is>
          <t>P5890</t>
        </is>
      </c>
      <c r="C189" s="17" t="inlineStr">
        <is>
          <t>jill75</t>
        </is>
      </c>
      <c r="D189" s="17" t="inlineStr">
        <is>
          <t>Zombie Rush</t>
        </is>
      </c>
      <c r="E189" s="17" t="inlineStr">
        <is>
          <t>Mobile</t>
        </is>
      </c>
      <c r="F189" s="17" t="inlineStr">
        <is>
          <t>South</t>
        </is>
      </c>
      <c r="G189" s="18" t="n">
        <v>45703</v>
      </c>
      <c r="H189" s="17" t="n">
        <v>22</v>
      </c>
      <c r="I189" s="17" t="n">
        <v>28.43</v>
      </c>
      <c r="J189" s="17" t="inlineStr">
        <is>
          <t>Battle Pass</t>
        </is>
      </c>
      <c r="K189" s="17" t="inlineStr">
        <is>
          <t>Crashed</t>
        </is>
      </c>
      <c r="L189" s="17" t="inlineStr">
        <is>
          <t>Paid</t>
        </is>
      </c>
      <c r="M189" s="17" t="n">
        <v>36</v>
      </c>
      <c r="N189" s="17" t="inlineStr">
        <is>
          <t>No</t>
        </is>
      </c>
      <c r="O189" s="17">
        <f>TEXT(G189,"yyyy-mm")</f>
        <v/>
      </c>
      <c r="P189" s="17">
        <f>IF(H189&lt;20,"Low",IF(H189&lt;=60,"Medium","High"))</f>
        <v/>
      </c>
      <c r="Q189" s="17">
        <f>IF(I189&gt;0,"Yes","No")</f>
        <v/>
      </c>
      <c r="R189" s="17">
        <f>IF(N189="Yes",1,0)</f>
        <v/>
      </c>
      <c r="S189" s="17">
        <f>IF(N189=IF(OR(H189&gt;150,I189&gt;40),"Yes","No"),"Match","Mismatch")</f>
        <v/>
      </c>
    </row>
    <row r="190">
      <c r="A190" s="17" t="inlineStr">
        <is>
          <t>S00393</t>
        </is>
      </c>
      <c r="B190" s="17" t="inlineStr">
        <is>
          <t>P1494</t>
        </is>
      </c>
      <c r="C190" s="17" t="inlineStr">
        <is>
          <t>steven30</t>
        </is>
      </c>
      <c r="D190" s="17" t="inlineStr">
        <is>
          <t>Empire Wars</t>
        </is>
      </c>
      <c r="E190" s="17" t="inlineStr">
        <is>
          <t>Mobile</t>
        </is>
      </c>
      <c r="F190" s="17" t="inlineStr">
        <is>
          <t>West</t>
        </is>
      </c>
      <c r="G190" s="18" t="n">
        <v>45703</v>
      </c>
      <c r="H190" s="17" t="n">
        <v>166</v>
      </c>
      <c r="I190" s="17" t="n">
        <v>0</v>
      </c>
      <c r="J190" s="17" t="inlineStr">
        <is>
          <t>No Purchase</t>
        </is>
      </c>
      <c r="K190" s="17" t="inlineStr">
        <is>
          <t>Completed</t>
        </is>
      </c>
      <c r="L190" s="17" t="inlineStr">
        <is>
          <t>Free</t>
        </is>
      </c>
      <c r="M190" s="17" t="n">
        <v>39</v>
      </c>
      <c r="N190" s="17" t="inlineStr">
        <is>
          <t>Yes</t>
        </is>
      </c>
      <c r="O190" s="17">
        <f>TEXT(G190,"yyyy-mm")</f>
        <v/>
      </c>
      <c r="P190" s="17">
        <f>IF(H190&lt;20,"Low",IF(H190&lt;=60,"Medium","High"))</f>
        <v/>
      </c>
      <c r="Q190" s="17">
        <f>IF(I190&gt;0,"Yes","No")</f>
        <v/>
      </c>
      <c r="R190" s="17">
        <f>IF(N190="Yes",1,0)</f>
        <v/>
      </c>
      <c r="S190" s="17">
        <f>IF(N190=IF(OR(H190&gt;150,I190&gt;40),"Yes","No"),"Match","Mismatch")</f>
        <v/>
      </c>
    </row>
    <row r="191">
      <c r="A191" s="17" t="inlineStr">
        <is>
          <t>S00398</t>
        </is>
      </c>
      <c r="B191" s="17" t="inlineStr">
        <is>
          <t>P6922</t>
        </is>
      </c>
      <c r="C191" s="17" t="inlineStr">
        <is>
          <t>aprince</t>
        </is>
      </c>
      <c r="D191" s="17" t="inlineStr">
        <is>
          <t>SpeedX</t>
        </is>
      </c>
      <c r="E191" s="17" t="inlineStr">
        <is>
          <t>PC</t>
        </is>
      </c>
      <c r="F191" s="17" t="inlineStr">
        <is>
          <t>East</t>
        </is>
      </c>
      <c r="G191" s="18" t="n">
        <v>45703</v>
      </c>
      <c r="H191" s="17" t="n">
        <v>129</v>
      </c>
      <c r="I191" s="17" t="n">
        <v>0</v>
      </c>
      <c r="J191" s="17" t="inlineStr">
        <is>
          <t>No Purchase</t>
        </is>
      </c>
      <c r="K191" s="17" t="inlineStr">
        <is>
          <t>Incomplete</t>
        </is>
      </c>
      <c r="L191" s="17" t="inlineStr">
        <is>
          <t>Free</t>
        </is>
      </c>
      <c r="M191" s="17" t="n">
        <v>37</v>
      </c>
      <c r="N191" s="17" t="inlineStr">
        <is>
          <t>No</t>
        </is>
      </c>
      <c r="O191" s="17">
        <f>TEXT(G191,"yyyy-mm")</f>
        <v/>
      </c>
      <c r="P191" s="17">
        <f>IF(H191&lt;20,"Low",IF(H191&lt;=60,"Medium","High"))</f>
        <v/>
      </c>
      <c r="Q191" s="17">
        <f>IF(I191&gt;0,"Yes","No")</f>
        <v/>
      </c>
      <c r="R191" s="17">
        <f>IF(N191="Yes",1,0)</f>
        <v/>
      </c>
      <c r="S191" s="17">
        <f>IF(N191=IF(OR(H191&gt;150,I191&gt;40),"Yes","No"),"Match","Mismatch")</f>
        <v/>
      </c>
    </row>
    <row r="192">
      <c r="A192" s="17" t="inlineStr">
        <is>
          <t>S00250</t>
        </is>
      </c>
      <c r="B192" s="17" t="inlineStr">
        <is>
          <t>P2357</t>
        </is>
      </c>
      <c r="C192" s="17" t="inlineStr">
        <is>
          <t>coxlauren</t>
        </is>
      </c>
      <c r="D192" s="17" t="inlineStr">
        <is>
          <t>BattleZone</t>
        </is>
      </c>
      <c r="E192" s="17" t="inlineStr">
        <is>
          <t>Mobile</t>
        </is>
      </c>
      <c r="F192" s="17" t="inlineStr">
        <is>
          <t>North-East</t>
        </is>
      </c>
      <c r="G192" s="18" t="n">
        <v>45703</v>
      </c>
      <c r="H192" s="17" t="n">
        <v>66</v>
      </c>
      <c r="I192" s="17" t="n">
        <v>0</v>
      </c>
      <c r="J192" s="17" t="inlineStr">
        <is>
          <t>No Purchase</t>
        </is>
      </c>
      <c r="K192" s="17" t="inlineStr">
        <is>
          <t>Incomplete</t>
        </is>
      </c>
      <c r="L192" s="17" t="inlineStr">
        <is>
          <t>Paid</t>
        </is>
      </c>
      <c r="M192" s="17" t="n">
        <v>38</v>
      </c>
      <c r="N192" s="17" t="inlineStr">
        <is>
          <t>No</t>
        </is>
      </c>
      <c r="O192" s="17">
        <f>TEXT(G192,"yyyy-mm")</f>
        <v/>
      </c>
      <c r="P192" s="17">
        <f>IF(H192&lt;20,"Low",IF(H192&lt;=60,"Medium","High"))</f>
        <v/>
      </c>
      <c r="Q192" s="17">
        <f>IF(I192&gt;0,"Yes","No")</f>
        <v/>
      </c>
      <c r="R192" s="17">
        <f>IF(N192="Yes",1,0)</f>
        <v/>
      </c>
      <c r="S192" s="17">
        <f>IF(N192=IF(OR(H192&gt;150,I192&gt;40),"Yes","No"),"Match","Mismatch")</f>
        <v/>
      </c>
    </row>
    <row r="193">
      <c r="A193" s="17" t="inlineStr">
        <is>
          <t>S00287</t>
        </is>
      </c>
      <c r="B193" s="17" t="inlineStr">
        <is>
          <t>P8328</t>
        </is>
      </c>
      <c r="C193" s="17" t="inlineStr">
        <is>
          <t>floresnatalie</t>
        </is>
      </c>
      <c r="D193" s="17" t="inlineStr">
        <is>
          <t>Clash of Realms</t>
        </is>
      </c>
      <c r="E193" s="17" t="inlineStr">
        <is>
          <t>PC</t>
        </is>
      </c>
      <c r="F193" s="17" t="inlineStr">
        <is>
          <t>North</t>
        </is>
      </c>
      <c r="G193" s="18" t="n">
        <v>45704</v>
      </c>
      <c r="H193" s="17" t="n">
        <v>80</v>
      </c>
      <c r="I193" s="17" t="n">
        <v>0</v>
      </c>
      <c r="J193" s="17" t="inlineStr">
        <is>
          <t>No Purchase</t>
        </is>
      </c>
      <c r="K193" s="17" t="inlineStr">
        <is>
          <t>Completed</t>
        </is>
      </c>
      <c r="L193" s="17" t="inlineStr">
        <is>
          <t>Free</t>
        </is>
      </c>
      <c r="M193" s="17" t="n">
        <v>16</v>
      </c>
      <c r="N193" s="17" t="inlineStr">
        <is>
          <t>No</t>
        </is>
      </c>
      <c r="O193" s="17">
        <f>TEXT(G193,"yyyy-mm")</f>
        <v/>
      </c>
      <c r="P193" s="17">
        <f>IF(H193&lt;20,"Low",IF(H193&lt;=60,"Medium","High"))</f>
        <v/>
      </c>
      <c r="Q193" s="17">
        <f>IF(I193&gt;0,"Yes","No")</f>
        <v/>
      </c>
      <c r="R193" s="17">
        <f>IF(N193="Yes",1,0)</f>
        <v/>
      </c>
      <c r="S193" s="17">
        <f>IF(N193=IF(OR(H193&gt;150,I193&gt;40),"Yes","No"),"Match","Mismatch")</f>
        <v/>
      </c>
    </row>
    <row r="194">
      <c r="A194" s="17" t="inlineStr">
        <is>
          <t>S00299</t>
        </is>
      </c>
      <c r="B194" s="17" t="inlineStr">
        <is>
          <t>P2792</t>
        </is>
      </c>
      <c r="C194" s="17" t="inlineStr">
        <is>
          <t>rileyjohn</t>
        </is>
      </c>
      <c r="D194" s="17" t="inlineStr">
        <is>
          <t>SpeedX</t>
        </is>
      </c>
      <c r="E194" s="17" t="inlineStr">
        <is>
          <t>Mobile</t>
        </is>
      </c>
      <c r="F194" s="17" t="inlineStr">
        <is>
          <t>South</t>
        </is>
      </c>
      <c r="G194" s="18" t="n">
        <v>45705</v>
      </c>
      <c r="H194" s="17" t="n">
        <v>42</v>
      </c>
      <c r="I194" s="17" t="n">
        <v>0</v>
      </c>
      <c r="J194" s="17" t="inlineStr">
        <is>
          <t>No Purchase</t>
        </is>
      </c>
      <c r="K194" s="17" t="inlineStr">
        <is>
          <t>Completed</t>
        </is>
      </c>
      <c r="L194" s="17" t="inlineStr">
        <is>
          <t>Free</t>
        </is>
      </c>
      <c r="M194" s="17" t="n">
        <v>15</v>
      </c>
      <c r="N194" s="17" t="inlineStr">
        <is>
          <t>No</t>
        </is>
      </c>
      <c r="O194" s="17">
        <f>TEXT(G194,"yyyy-mm")</f>
        <v/>
      </c>
      <c r="P194" s="17">
        <f>IF(H194&lt;20,"Low",IF(H194&lt;=60,"Medium","High"))</f>
        <v/>
      </c>
      <c r="Q194" s="17">
        <f>IF(I194&gt;0,"Yes","No")</f>
        <v/>
      </c>
      <c r="R194" s="17">
        <f>IF(N194="Yes",1,0)</f>
        <v/>
      </c>
      <c r="S194" s="17">
        <f>IF(N194=IF(OR(H194&gt;150,I194&gt;40),"Yes","No"),"Match","Mismatch")</f>
        <v/>
      </c>
    </row>
    <row r="195">
      <c r="A195" s="17" t="inlineStr">
        <is>
          <t>S00143</t>
        </is>
      </c>
      <c r="B195" s="17" t="inlineStr">
        <is>
          <t>P8203</t>
        </is>
      </c>
      <c r="C195" s="17" t="inlineStr">
        <is>
          <t>kennedyjacob</t>
        </is>
      </c>
      <c r="D195" s="17" t="inlineStr">
        <is>
          <t>BattleZone</t>
        </is>
      </c>
      <c r="E195" s="17" t="inlineStr">
        <is>
          <t>Mobile</t>
        </is>
      </c>
      <c r="F195" s="17" t="inlineStr">
        <is>
          <t>North-East</t>
        </is>
      </c>
      <c r="G195" s="18" t="n">
        <v>45705</v>
      </c>
      <c r="H195" s="17" t="n">
        <v>48</v>
      </c>
      <c r="I195" s="17" t="n">
        <v>46.63</v>
      </c>
      <c r="J195" s="17" t="inlineStr">
        <is>
          <t>Battle Pass</t>
        </is>
      </c>
      <c r="K195" s="17" t="inlineStr">
        <is>
          <t>Completed</t>
        </is>
      </c>
      <c r="L195" s="17" t="inlineStr">
        <is>
          <t>Paid</t>
        </is>
      </c>
      <c r="M195" s="17" t="n">
        <v>42</v>
      </c>
      <c r="N195" s="17" t="inlineStr">
        <is>
          <t>Yes</t>
        </is>
      </c>
      <c r="O195" s="17">
        <f>TEXT(G195,"yyyy-mm")</f>
        <v/>
      </c>
      <c r="P195" s="17">
        <f>IF(H195&lt;20,"Low",IF(H195&lt;=60,"Medium","High"))</f>
        <v/>
      </c>
      <c r="Q195" s="17">
        <f>IF(I195&gt;0,"Yes","No")</f>
        <v/>
      </c>
      <c r="R195" s="17">
        <f>IF(N195="Yes",1,0)</f>
        <v/>
      </c>
      <c r="S195" s="17">
        <f>IF(N195=IF(OR(H195&gt;150,I195&gt;40),"Yes","No"),"Match","Mismatch")</f>
        <v/>
      </c>
    </row>
    <row r="196">
      <c r="A196" s="17" t="inlineStr">
        <is>
          <t>S00117</t>
        </is>
      </c>
      <c r="B196" s="17" t="inlineStr">
        <is>
          <t>P4728</t>
        </is>
      </c>
      <c r="C196" s="17" t="inlineStr">
        <is>
          <t>marilynharrison</t>
        </is>
      </c>
      <c r="D196" s="17" t="inlineStr">
        <is>
          <t>BattleZone</t>
        </is>
      </c>
      <c r="E196" s="17" t="inlineStr">
        <is>
          <t>PC</t>
        </is>
      </c>
      <c r="F196" s="17" t="inlineStr">
        <is>
          <t>South</t>
        </is>
      </c>
      <c r="G196" s="18" t="n">
        <v>45707</v>
      </c>
      <c r="H196" s="17" t="n">
        <v>22</v>
      </c>
      <c r="I196" s="17" t="n">
        <v>0</v>
      </c>
      <c r="J196" s="17" t="inlineStr">
        <is>
          <t>No Purchase</t>
        </is>
      </c>
      <c r="K196" s="17" t="inlineStr">
        <is>
          <t>Completed</t>
        </is>
      </c>
      <c r="L196" s="17" t="inlineStr">
        <is>
          <t>Free</t>
        </is>
      </c>
      <c r="M196" s="17" t="n">
        <v>7</v>
      </c>
      <c r="N196" s="17" t="inlineStr">
        <is>
          <t>No</t>
        </is>
      </c>
      <c r="O196" s="17">
        <f>TEXT(G196,"yyyy-mm")</f>
        <v/>
      </c>
      <c r="P196" s="17">
        <f>IF(H196&lt;20,"Low",IF(H196&lt;=60,"Medium","High"))</f>
        <v/>
      </c>
      <c r="Q196" s="17">
        <f>IF(I196&gt;0,"Yes","No")</f>
        <v/>
      </c>
      <c r="R196" s="17">
        <f>IF(N196="Yes",1,0)</f>
        <v/>
      </c>
      <c r="S196" s="17">
        <f>IF(N196=IF(OR(H196&gt;150,I196&gt;40),"Yes","No"),"Match","Mismatch")</f>
        <v/>
      </c>
    </row>
    <row r="197">
      <c r="A197" s="17" t="inlineStr">
        <is>
          <t>S00280</t>
        </is>
      </c>
      <c r="B197" s="17" t="inlineStr">
        <is>
          <t>P9835</t>
        </is>
      </c>
      <c r="C197" s="17" t="inlineStr">
        <is>
          <t>leslie88</t>
        </is>
      </c>
      <c r="D197" s="17" t="inlineStr">
        <is>
          <t>BattleZone</t>
        </is>
      </c>
      <c r="E197" s="17" t="inlineStr">
        <is>
          <t>Console</t>
        </is>
      </c>
      <c r="F197" s="17" t="inlineStr">
        <is>
          <t>North</t>
        </is>
      </c>
      <c r="G197" s="18" t="n">
        <v>45708</v>
      </c>
      <c r="H197" s="17" t="n">
        <v>127</v>
      </c>
      <c r="I197" s="17" t="n">
        <v>40.21</v>
      </c>
      <c r="J197" s="17" t="inlineStr">
        <is>
          <t>Battle Pass</t>
        </is>
      </c>
      <c r="K197" s="17" t="inlineStr">
        <is>
          <t>Completed</t>
        </is>
      </c>
      <c r="L197" s="17" t="inlineStr">
        <is>
          <t>Paid</t>
        </is>
      </c>
      <c r="M197" s="17" t="n">
        <v>38</v>
      </c>
      <c r="N197" s="17" t="inlineStr">
        <is>
          <t>Yes</t>
        </is>
      </c>
      <c r="O197" s="17">
        <f>TEXT(G197,"yyyy-mm")</f>
        <v/>
      </c>
      <c r="P197" s="17">
        <f>IF(H197&lt;20,"Low",IF(H197&lt;=60,"Medium","High"))</f>
        <v/>
      </c>
      <c r="Q197" s="17">
        <f>IF(I197&gt;0,"Yes","No")</f>
        <v/>
      </c>
      <c r="R197" s="17">
        <f>IF(N197="Yes",1,0)</f>
        <v/>
      </c>
      <c r="S197" s="17">
        <f>IF(N197=IF(OR(H197&gt;150,I197&gt;40),"Yes","No"),"Match","Mismatch")</f>
        <v/>
      </c>
    </row>
    <row r="198">
      <c r="A198" s="17" t="inlineStr">
        <is>
          <t>S00284</t>
        </is>
      </c>
      <c r="B198" s="17" t="inlineStr">
        <is>
          <t>P4597</t>
        </is>
      </c>
      <c r="C198" s="17" t="inlineStr">
        <is>
          <t>john69</t>
        </is>
      </c>
      <c r="D198" s="17" t="inlineStr">
        <is>
          <t>SpeedX</t>
        </is>
      </c>
      <c r="E198" s="17" t="inlineStr">
        <is>
          <t>PC</t>
        </is>
      </c>
      <c r="F198" s="17" t="inlineStr">
        <is>
          <t>North</t>
        </is>
      </c>
      <c r="G198" s="18" t="n">
        <v>45708</v>
      </c>
      <c r="H198" s="17" t="n">
        <v>112</v>
      </c>
      <c r="I198" s="17" t="n">
        <v>13.89</v>
      </c>
      <c r="J198" s="17" t="inlineStr">
        <is>
          <t>Battle Pass</t>
        </is>
      </c>
      <c r="K198" s="17" t="inlineStr">
        <is>
          <t>Crashed</t>
        </is>
      </c>
      <c r="L198" s="17" t="inlineStr">
        <is>
          <t>Paid</t>
        </is>
      </c>
      <c r="M198" s="17" t="n">
        <v>25</v>
      </c>
      <c r="N198" s="17" t="inlineStr">
        <is>
          <t>No</t>
        </is>
      </c>
      <c r="O198" s="17">
        <f>TEXT(G198,"yyyy-mm")</f>
        <v/>
      </c>
      <c r="P198" s="17">
        <f>IF(H198&lt;20,"Low",IF(H198&lt;=60,"Medium","High"))</f>
        <v/>
      </c>
      <c r="Q198" s="17">
        <f>IF(I198&gt;0,"Yes","No")</f>
        <v/>
      </c>
      <c r="R198" s="17">
        <f>IF(N198="Yes",1,0)</f>
        <v/>
      </c>
      <c r="S198" s="17">
        <f>IF(N198=IF(OR(H198&gt;150,I198&gt;40),"Yes","No"),"Match","Mismatch")</f>
        <v/>
      </c>
    </row>
    <row r="199">
      <c r="A199" s="17" t="inlineStr">
        <is>
          <t>S00301</t>
        </is>
      </c>
      <c r="B199" s="17" t="inlineStr">
        <is>
          <t>P1529</t>
        </is>
      </c>
      <c r="C199" s="17" t="inlineStr">
        <is>
          <t>nicole11</t>
        </is>
      </c>
      <c r="D199" s="17" t="inlineStr">
        <is>
          <t>Empire Wars</t>
        </is>
      </c>
      <c r="E199" s="17" t="inlineStr">
        <is>
          <t>Mobile</t>
        </is>
      </c>
      <c r="F199" s="17" t="inlineStr">
        <is>
          <t>Central</t>
        </is>
      </c>
      <c r="G199" s="18" t="n">
        <v>45708</v>
      </c>
      <c r="H199" s="17" t="n">
        <v>70</v>
      </c>
      <c r="I199" s="17" t="n">
        <v>19.62</v>
      </c>
      <c r="J199" s="17" t="inlineStr">
        <is>
          <t>Skins</t>
        </is>
      </c>
      <c r="K199" s="17" t="inlineStr">
        <is>
          <t>Completed</t>
        </is>
      </c>
      <c r="L199" s="17" t="inlineStr">
        <is>
          <t>Paid</t>
        </is>
      </c>
      <c r="M199" s="17" t="n">
        <v>47</v>
      </c>
      <c r="N199" s="17" t="inlineStr">
        <is>
          <t>No</t>
        </is>
      </c>
      <c r="O199" s="17">
        <f>TEXT(G199,"yyyy-mm")</f>
        <v/>
      </c>
      <c r="P199" s="17">
        <f>IF(H199&lt;20,"Low",IF(H199&lt;=60,"Medium","High"))</f>
        <v/>
      </c>
      <c r="Q199" s="17">
        <f>IF(I199&gt;0,"Yes","No")</f>
        <v/>
      </c>
      <c r="R199" s="17">
        <f>IF(N199="Yes",1,0)</f>
        <v/>
      </c>
      <c r="S199" s="17">
        <f>IF(N199=IF(OR(H199&gt;150,I199&gt;40),"Yes","No"),"Match","Mismatch")</f>
        <v/>
      </c>
    </row>
    <row r="200">
      <c r="A200" s="17" t="inlineStr">
        <is>
          <t>S00032</t>
        </is>
      </c>
      <c r="B200" s="17" t="inlineStr">
        <is>
          <t>P6285</t>
        </is>
      </c>
      <c r="C200" s="17" t="inlineStr">
        <is>
          <t>katherinejohnston</t>
        </is>
      </c>
      <c r="D200" s="17" t="inlineStr">
        <is>
          <t>SpeedX</t>
        </is>
      </c>
      <c r="E200" s="17" t="inlineStr">
        <is>
          <t>PC</t>
        </is>
      </c>
      <c r="F200" s="17" t="inlineStr">
        <is>
          <t>North-East</t>
        </is>
      </c>
      <c r="G200" s="18" t="n">
        <v>45708</v>
      </c>
      <c r="H200" s="17" t="n">
        <v>16</v>
      </c>
      <c r="I200" s="17" t="n">
        <v>0</v>
      </c>
      <c r="J200" s="17" t="inlineStr">
        <is>
          <t>No Purchase</t>
        </is>
      </c>
      <c r="K200" s="17" t="inlineStr">
        <is>
          <t>Completed</t>
        </is>
      </c>
      <c r="L200" s="17" t="inlineStr">
        <is>
          <t>Free</t>
        </is>
      </c>
      <c r="M200" s="17" t="n">
        <v>16</v>
      </c>
      <c r="N200" s="17" t="inlineStr">
        <is>
          <t>No</t>
        </is>
      </c>
      <c r="O200" s="17">
        <f>TEXT(G200,"yyyy-mm")</f>
        <v/>
      </c>
      <c r="P200" s="17">
        <f>IF(H200&lt;20,"Low",IF(H200&lt;=60,"Medium","High"))</f>
        <v/>
      </c>
      <c r="Q200" s="17">
        <f>IF(I200&gt;0,"Yes","No")</f>
        <v/>
      </c>
      <c r="R200" s="17">
        <f>IF(N200="Yes",1,0)</f>
        <v/>
      </c>
      <c r="S200" s="17">
        <f>IF(N200=IF(OR(H200&gt;150,I200&gt;40),"Yes","No"),"Match","Mismatch")</f>
        <v/>
      </c>
    </row>
    <row r="201">
      <c r="A201" s="17" t="inlineStr">
        <is>
          <t>S00308</t>
        </is>
      </c>
      <c r="B201" s="17" t="inlineStr">
        <is>
          <t>P6026</t>
        </is>
      </c>
      <c r="C201" s="17" t="inlineStr">
        <is>
          <t>ogarcia</t>
        </is>
      </c>
      <c r="D201" s="17" t="inlineStr">
        <is>
          <t>SpeedX</t>
        </is>
      </c>
      <c r="E201" s="17" t="inlineStr">
        <is>
          <t>Console</t>
        </is>
      </c>
      <c r="F201" s="17" t="inlineStr">
        <is>
          <t>East</t>
        </is>
      </c>
      <c r="G201" s="18" t="n">
        <v>45708</v>
      </c>
      <c r="H201" s="17" t="n">
        <v>178</v>
      </c>
      <c r="I201" s="17" t="n">
        <v>38.37</v>
      </c>
      <c r="J201" s="17" t="inlineStr">
        <is>
          <t>Battle Pass</t>
        </is>
      </c>
      <c r="K201" s="17" t="inlineStr">
        <is>
          <t>Completed</t>
        </is>
      </c>
      <c r="L201" s="17" t="inlineStr">
        <is>
          <t>Paid</t>
        </is>
      </c>
      <c r="M201" s="17" t="n">
        <v>32</v>
      </c>
      <c r="N201" s="17" t="inlineStr">
        <is>
          <t>Yes</t>
        </is>
      </c>
      <c r="O201" s="17">
        <f>TEXT(G201,"yyyy-mm")</f>
        <v/>
      </c>
      <c r="P201" s="17">
        <f>IF(H201&lt;20,"Low",IF(H201&lt;=60,"Medium","High"))</f>
        <v/>
      </c>
      <c r="Q201" s="17">
        <f>IF(I201&gt;0,"Yes","No")</f>
        <v/>
      </c>
      <c r="R201" s="17">
        <f>IF(N201="Yes",1,0)</f>
        <v/>
      </c>
      <c r="S201" s="17">
        <f>IF(N201=IF(OR(H201&gt;150,I201&gt;40),"Yes","No"),"Match","Mismatch")</f>
        <v/>
      </c>
    </row>
    <row r="202">
      <c r="A202" s="17" t="inlineStr">
        <is>
          <t>S00437</t>
        </is>
      </c>
      <c r="B202" s="17" t="inlineStr">
        <is>
          <t>P1726</t>
        </is>
      </c>
      <c r="C202" s="17" t="inlineStr">
        <is>
          <t>sheila89</t>
        </is>
      </c>
      <c r="D202" s="17" t="inlineStr">
        <is>
          <t>BattleZone</t>
        </is>
      </c>
      <c r="E202" s="17" t="inlineStr">
        <is>
          <t>PC</t>
        </is>
      </c>
      <c r="F202" s="17" t="inlineStr">
        <is>
          <t>Central</t>
        </is>
      </c>
      <c r="G202" s="18" t="n">
        <v>45708</v>
      </c>
      <c r="H202" s="17" t="n">
        <v>101</v>
      </c>
      <c r="I202" s="17" t="n">
        <v>0</v>
      </c>
      <c r="J202" s="17" t="inlineStr">
        <is>
          <t>No Purchase</t>
        </is>
      </c>
      <c r="K202" s="17" t="inlineStr">
        <is>
          <t>Incomplete</t>
        </is>
      </c>
      <c r="L202" s="17" t="inlineStr">
        <is>
          <t>Free</t>
        </is>
      </c>
      <c r="M202" s="17" t="n">
        <v>5</v>
      </c>
      <c r="N202" s="17" t="inlineStr">
        <is>
          <t>No</t>
        </is>
      </c>
      <c r="O202" s="17">
        <f>TEXT(G202,"yyyy-mm")</f>
        <v/>
      </c>
      <c r="P202" s="17">
        <f>IF(H202&lt;20,"Low",IF(H202&lt;=60,"Medium","High"))</f>
        <v/>
      </c>
      <c r="Q202" s="17">
        <f>IF(I202&gt;0,"Yes","No")</f>
        <v/>
      </c>
      <c r="R202" s="17">
        <f>IF(N202="Yes",1,0)</f>
        <v/>
      </c>
      <c r="S202" s="17">
        <f>IF(N202=IF(OR(H202&gt;150,I202&gt;40),"Yes","No"),"Match","Mismatch")</f>
        <v/>
      </c>
    </row>
    <row r="203">
      <c r="A203" s="17" t="inlineStr">
        <is>
          <t>S00454</t>
        </is>
      </c>
      <c r="B203" s="17" t="inlineStr">
        <is>
          <t>P4547</t>
        </is>
      </c>
      <c r="C203" s="17" t="inlineStr">
        <is>
          <t>allenvictor</t>
        </is>
      </c>
      <c r="D203" s="17" t="inlineStr">
        <is>
          <t>SpeedX</t>
        </is>
      </c>
      <c r="E203" s="17" t="inlineStr">
        <is>
          <t>Mobile</t>
        </is>
      </c>
      <c r="F203" s="17" t="inlineStr">
        <is>
          <t>North</t>
        </is>
      </c>
      <c r="G203" s="18" t="n">
        <v>45708</v>
      </c>
      <c r="H203" s="17" t="n">
        <v>142</v>
      </c>
      <c r="I203" s="17" t="n">
        <v>0</v>
      </c>
      <c r="J203" s="17" t="inlineStr">
        <is>
          <t>No Purchase</t>
        </is>
      </c>
      <c r="K203" s="17" t="inlineStr">
        <is>
          <t>Completed</t>
        </is>
      </c>
      <c r="L203" s="17" t="inlineStr">
        <is>
          <t>Free</t>
        </is>
      </c>
      <c r="M203" s="17" t="n">
        <v>32</v>
      </c>
      <c r="N203" s="17" t="inlineStr">
        <is>
          <t>No</t>
        </is>
      </c>
      <c r="O203" s="17">
        <f>TEXT(G203,"yyyy-mm")</f>
        <v/>
      </c>
      <c r="P203" s="17">
        <f>IF(H203&lt;20,"Low",IF(H203&lt;=60,"Medium","High"))</f>
        <v/>
      </c>
      <c r="Q203" s="17">
        <f>IF(I203&gt;0,"Yes","No")</f>
        <v/>
      </c>
      <c r="R203" s="17">
        <f>IF(N203="Yes",1,0)</f>
        <v/>
      </c>
      <c r="S203" s="17">
        <f>IF(N203=IF(OR(H203&gt;150,I203&gt;40),"Yes","No"),"Match","Mismatch")</f>
        <v/>
      </c>
    </row>
    <row r="204">
      <c r="A204" s="17" t="inlineStr">
        <is>
          <t>S00157</t>
        </is>
      </c>
      <c r="B204" s="17" t="inlineStr">
        <is>
          <t>P5941</t>
        </is>
      </c>
      <c r="C204" s="17" t="inlineStr">
        <is>
          <t>gabriellogan</t>
        </is>
      </c>
      <c r="D204" s="17" t="inlineStr">
        <is>
          <t>BattleZone</t>
        </is>
      </c>
      <c r="E204" s="17" t="inlineStr">
        <is>
          <t>Console</t>
        </is>
      </c>
      <c r="F204" s="17" t="inlineStr">
        <is>
          <t>North-East</t>
        </is>
      </c>
      <c r="G204" s="18" t="n">
        <v>45709</v>
      </c>
      <c r="H204" s="17" t="n">
        <v>37</v>
      </c>
      <c r="I204" s="17" t="n">
        <v>0</v>
      </c>
      <c r="J204" s="17" t="inlineStr">
        <is>
          <t>No Purchase</t>
        </is>
      </c>
      <c r="K204" s="17" t="inlineStr">
        <is>
          <t>Exited Early</t>
        </is>
      </c>
      <c r="L204" s="17" t="inlineStr">
        <is>
          <t>Free</t>
        </is>
      </c>
      <c r="M204" s="17" t="n">
        <v>1</v>
      </c>
      <c r="N204" s="17" t="inlineStr">
        <is>
          <t>No</t>
        </is>
      </c>
      <c r="O204" s="17">
        <f>TEXT(G204,"yyyy-mm")</f>
        <v/>
      </c>
      <c r="P204" s="17">
        <f>IF(H204&lt;20,"Low",IF(H204&lt;=60,"Medium","High"))</f>
        <v/>
      </c>
      <c r="Q204" s="17">
        <f>IF(I204&gt;0,"Yes","No")</f>
        <v/>
      </c>
      <c r="R204" s="17">
        <f>IF(N204="Yes",1,0)</f>
        <v/>
      </c>
      <c r="S204" s="17">
        <f>IF(N204=IF(OR(H204&gt;150,I204&gt;40),"Yes","No"),"Match","Mismatch")</f>
        <v/>
      </c>
    </row>
    <row r="205">
      <c r="A205" s="17" t="inlineStr">
        <is>
          <t>S00366</t>
        </is>
      </c>
      <c r="B205" s="17" t="inlineStr">
        <is>
          <t>P8007</t>
        </is>
      </c>
      <c r="C205" s="17" t="inlineStr">
        <is>
          <t>kelly45</t>
        </is>
      </c>
      <c r="D205" s="17" t="inlineStr">
        <is>
          <t>Empire Wars</t>
        </is>
      </c>
      <c r="E205" s="17" t="inlineStr">
        <is>
          <t>Mobile</t>
        </is>
      </c>
      <c r="F205" s="17" t="inlineStr">
        <is>
          <t>North-East</t>
        </is>
      </c>
      <c r="G205" s="18" t="n">
        <v>45710</v>
      </c>
      <c r="H205" s="17" t="n">
        <v>80</v>
      </c>
      <c r="I205" s="17" t="n">
        <v>42.33</v>
      </c>
      <c r="J205" s="17" t="inlineStr">
        <is>
          <t>Boosters</t>
        </is>
      </c>
      <c r="K205" s="17" t="inlineStr">
        <is>
          <t>Completed</t>
        </is>
      </c>
      <c r="L205" s="17" t="inlineStr">
        <is>
          <t>Paid</t>
        </is>
      </c>
      <c r="M205" s="17" t="n">
        <v>23</v>
      </c>
      <c r="N205" s="17" t="inlineStr">
        <is>
          <t>Yes</t>
        </is>
      </c>
      <c r="O205" s="17">
        <f>TEXT(G205,"yyyy-mm")</f>
        <v/>
      </c>
      <c r="P205" s="17">
        <f>IF(H205&lt;20,"Low",IF(H205&lt;=60,"Medium","High"))</f>
        <v/>
      </c>
      <c r="Q205" s="17">
        <f>IF(I205&gt;0,"Yes","No")</f>
        <v/>
      </c>
      <c r="R205" s="17">
        <f>IF(N205="Yes",1,0)</f>
        <v/>
      </c>
      <c r="S205" s="17">
        <f>IF(N205=IF(OR(H205&gt;150,I205&gt;40),"Yes","No"),"Match","Mismatch")</f>
        <v/>
      </c>
    </row>
    <row r="206">
      <c r="A206" s="17" t="inlineStr">
        <is>
          <t>S00097</t>
        </is>
      </c>
      <c r="B206" s="17" t="inlineStr">
        <is>
          <t>P1126</t>
        </is>
      </c>
      <c r="C206" s="17" t="inlineStr">
        <is>
          <t>richardward</t>
        </is>
      </c>
      <c r="D206" s="17" t="inlineStr">
        <is>
          <t>Zombie Rush</t>
        </is>
      </c>
      <c r="E206" s="17" t="inlineStr">
        <is>
          <t>PC</t>
        </is>
      </c>
      <c r="F206" s="17" t="inlineStr">
        <is>
          <t>West</t>
        </is>
      </c>
      <c r="G206" s="18" t="n">
        <v>45710</v>
      </c>
      <c r="H206" s="17" t="n">
        <v>122</v>
      </c>
      <c r="I206" s="17" t="n">
        <v>0</v>
      </c>
      <c r="J206" s="17" t="inlineStr">
        <is>
          <t>No Purchase</t>
        </is>
      </c>
      <c r="K206" s="17" t="inlineStr">
        <is>
          <t>Completed</t>
        </is>
      </c>
      <c r="L206" s="17" t="inlineStr">
        <is>
          <t>Free</t>
        </is>
      </c>
      <c r="M206" s="17" t="n">
        <v>9</v>
      </c>
      <c r="N206" s="17" t="inlineStr">
        <is>
          <t>No</t>
        </is>
      </c>
      <c r="O206" s="17">
        <f>TEXT(G206,"yyyy-mm")</f>
        <v/>
      </c>
      <c r="P206" s="17">
        <f>IF(H206&lt;20,"Low",IF(H206&lt;=60,"Medium","High"))</f>
        <v/>
      </c>
      <c r="Q206" s="17">
        <f>IF(I206&gt;0,"Yes","No")</f>
        <v/>
      </c>
      <c r="R206" s="17">
        <f>IF(N206="Yes",1,0)</f>
        <v/>
      </c>
      <c r="S206" s="17">
        <f>IF(N206=IF(OR(H206&gt;150,I206&gt;40),"Yes","No"),"Match","Mismatch")</f>
        <v/>
      </c>
    </row>
    <row r="207">
      <c r="A207" s="17" t="inlineStr">
        <is>
          <t>S00353</t>
        </is>
      </c>
      <c r="B207" s="17" t="inlineStr">
        <is>
          <t>P2482</t>
        </is>
      </c>
      <c r="C207" s="17" t="inlineStr">
        <is>
          <t>udavis</t>
        </is>
      </c>
      <c r="D207" s="17" t="inlineStr">
        <is>
          <t>Clash of Realms</t>
        </is>
      </c>
      <c r="E207" s="17" t="inlineStr">
        <is>
          <t>Mobile</t>
        </is>
      </c>
      <c r="F207" s="17" t="inlineStr">
        <is>
          <t>West</t>
        </is>
      </c>
      <c r="G207" s="18" t="n">
        <v>45711</v>
      </c>
      <c r="H207" s="17" t="n">
        <v>21</v>
      </c>
      <c r="I207" s="17" t="n">
        <v>0</v>
      </c>
      <c r="J207" s="17" t="inlineStr">
        <is>
          <t>No Purchase</t>
        </is>
      </c>
      <c r="K207" s="17" t="inlineStr">
        <is>
          <t>Completed</t>
        </is>
      </c>
      <c r="L207" s="17" t="inlineStr">
        <is>
          <t>Free</t>
        </is>
      </c>
      <c r="M207" s="17" t="n">
        <v>2</v>
      </c>
      <c r="N207" s="17" t="inlineStr">
        <is>
          <t>No</t>
        </is>
      </c>
      <c r="O207" s="17">
        <f>TEXT(G207,"yyyy-mm")</f>
        <v/>
      </c>
      <c r="P207" s="17">
        <f>IF(H207&lt;20,"Low",IF(H207&lt;=60,"Medium","High"))</f>
        <v/>
      </c>
      <c r="Q207" s="17">
        <f>IF(I207&gt;0,"Yes","No")</f>
        <v/>
      </c>
      <c r="R207" s="17">
        <f>IF(N207="Yes",1,0)</f>
        <v/>
      </c>
      <c r="S207" s="17">
        <f>IF(N207=IF(OR(H207&gt;150,I207&gt;40),"Yes","No"),"Match","Mismatch")</f>
        <v/>
      </c>
    </row>
    <row r="208">
      <c r="A208" s="17" t="inlineStr">
        <is>
          <t>S00096</t>
        </is>
      </c>
      <c r="B208" s="17" t="inlineStr">
        <is>
          <t>P7669</t>
        </is>
      </c>
      <c r="C208" s="17" t="inlineStr">
        <is>
          <t>melanie00</t>
        </is>
      </c>
      <c r="D208" s="17" t="inlineStr">
        <is>
          <t>SpeedX</t>
        </is>
      </c>
      <c r="E208" s="17" t="inlineStr">
        <is>
          <t>Console</t>
        </is>
      </c>
      <c r="F208" s="17" t="inlineStr">
        <is>
          <t>Central</t>
        </is>
      </c>
      <c r="G208" s="18" t="n">
        <v>45712</v>
      </c>
      <c r="H208" s="17" t="n">
        <v>158</v>
      </c>
      <c r="I208" s="17" t="n">
        <v>0</v>
      </c>
      <c r="J208" s="17" t="inlineStr">
        <is>
          <t>No Purchase</t>
        </is>
      </c>
      <c r="K208" s="17" t="inlineStr">
        <is>
          <t>Completed</t>
        </is>
      </c>
      <c r="L208" s="17" t="inlineStr">
        <is>
          <t>Paid</t>
        </is>
      </c>
      <c r="M208" s="17" t="n">
        <v>17</v>
      </c>
      <c r="N208" s="17" t="inlineStr">
        <is>
          <t>Yes</t>
        </is>
      </c>
      <c r="O208" s="17">
        <f>TEXT(G208,"yyyy-mm")</f>
        <v/>
      </c>
      <c r="P208" s="17">
        <f>IF(H208&lt;20,"Low",IF(H208&lt;=60,"Medium","High"))</f>
        <v/>
      </c>
      <c r="Q208" s="17">
        <f>IF(I208&gt;0,"Yes","No")</f>
        <v/>
      </c>
      <c r="R208" s="17">
        <f>IF(N208="Yes",1,0)</f>
        <v/>
      </c>
      <c r="S208" s="17">
        <f>IF(N208=IF(OR(H208&gt;150,I208&gt;40),"Yes","No"),"Match","Mismatch")</f>
        <v/>
      </c>
    </row>
    <row r="209">
      <c r="A209" s="17" t="inlineStr">
        <is>
          <t>S00350</t>
        </is>
      </c>
      <c r="B209" s="17" t="inlineStr">
        <is>
          <t>P9081</t>
        </is>
      </c>
      <c r="C209" s="17" t="inlineStr">
        <is>
          <t>brooke04</t>
        </is>
      </c>
      <c r="D209" s="17" t="inlineStr">
        <is>
          <t>SpeedX</t>
        </is>
      </c>
      <c r="E209" s="17" t="inlineStr">
        <is>
          <t>Console</t>
        </is>
      </c>
      <c r="F209" s="17" t="inlineStr">
        <is>
          <t>East</t>
        </is>
      </c>
      <c r="G209" s="18" t="n">
        <v>45712</v>
      </c>
      <c r="H209" s="17" t="n">
        <v>22</v>
      </c>
      <c r="I209" s="17" t="n">
        <v>0</v>
      </c>
      <c r="J209" s="17" t="inlineStr">
        <is>
          <t>No Purchase</t>
        </is>
      </c>
      <c r="K209" s="17" t="inlineStr">
        <is>
          <t>Completed</t>
        </is>
      </c>
      <c r="L209" s="17" t="inlineStr">
        <is>
          <t>Free</t>
        </is>
      </c>
      <c r="M209" s="17" t="n">
        <v>22</v>
      </c>
      <c r="N209" s="17" t="inlineStr">
        <is>
          <t>No</t>
        </is>
      </c>
      <c r="O209" s="17">
        <f>TEXT(G209,"yyyy-mm")</f>
        <v/>
      </c>
      <c r="P209" s="17">
        <f>IF(H209&lt;20,"Low",IF(H209&lt;=60,"Medium","High"))</f>
        <v/>
      </c>
      <c r="Q209" s="17">
        <f>IF(I209&gt;0,"Yes","No")</f>
        <v/>
      </c>
      <c r="R209" s="17">
        <f>IF(N209="Yes",1,0)</f>
        <v/>
      </c>
      <c r="S209" s="17">
        <f>IF(N209=IF(OR(H209&gt;150,I209&gt;40),"Yes","No"),"Match","Mismatch")</f>
        <v/>
      </c>
    </row>
    <row r="210">
      <c r="A210" s="17" t="inlineStr">
        <is>
          <t>S00146</t>
        </is>
      </c>
      <c r="B210" s="17" t="inlineStr">
        <is>
          <t>P3775</t>
        </is>
      </c>
      <c r="C210" s="17" t="inlineStr">
        <is>
          <t>castillowilliam</t>
        </is>
      </c>
      <c r="D210" s="17" t="inlineStr">
        <is>
          <t>Clash of Realms</t>
        </is>
      </c>
      <c r="E210" s="17" t="inlineStr">
        <is>
          <t>Console</t>
        </is>
      </c>
      <c r="F210" s="17" t="inlineStr">
        <is>
          <t>North</t>
        </is>
      </c>
      <c r="G210" s="18" t="n">
        <v>45713</v>
      </c>
      <c r="H210" s="17" t="n">
        <v>18</v>
      </c>
      <c r="I210" s="17" t="n">
        <v>0</v>
      </c>
      <c r="J210" s="17" t="inlineStr">
        <is>
          <t>No Purchase</t>
        </is>
      </c>
      <c r="K210" s="17" t="inlineStr">
        <is>
          <t>Completed</t>
        </is>
      </c>
      <c r="L210" s="17" t="inlineStr">
        <is>
          <t>Free</t>
        </is>
      </c>
      <c r="M210" s="17" t="n">
        <v>47</v>
      </c>
      <c r="N210" s="17" t="inlineStr">
        <is>
          <t>No</t>
        </is>
      </c>
      <c r="O210" s="17">
        <f>TEXT(G210,"yyyy-mm")</f>
        <v/>
      </c>
      <c r="P210" s="17">
        <f>IF(H210&lt;20,"Low",IF(H210&lt;=60,"Medium","High"))</f>
        <v/>
      </c>
      <c r="Q210" s="17">
        <f>IF(I210&gt;0,"Yes","No")</f>
        <v/>
      </c>
      <c r="R210" s="17">
        <f>IF(N210="Yes",1,0)</f>
        <v/>
      </c>
      <c r="S210" s="17">
        <f>IF(N210=IF(OR(H210&gt;150,I210&gt;40),"Yes","No"),"Match","Mismatch")</f>
        <v/>
      </c>
    </row>
    <row r="211">
      <c r="A211" s="17" t="inlineStr">
        <is>
          <t>S00185</t>
        </is>
      </c>
      <c r="B211" s="17" t="inlineStr">
        <is>
          <t>P5211</t>
        </is>
      </c>
      <c r="C211" s="17" t="inlineStr">
        <is>
          <t>ynovak</t>
        </is>
      </c>
      <c r="D211" s="17" t="inlineStr">
        <is>
          <t>Clash of Realms</t>
        </is>
      </c>
      <c r="E211" s="17" t="inlineStr">
        <is>
          <t>PC</t>
        </is>
      </c>
      <c r="F211" s="17" t="inlineStr">
        <is>
          <t>North-East</t>
        </is>
      </c>
      <c r="G211" s="18" t="n">
        <v>45713</v>
      </c>
      <c r="H211" s="17" t="n">
        <v>27</v>
      </c>
      <c r="I211" s="17" t="n">
        <v>0</v>
      </c>
      <c r="J211" s="17" t="inlineStr">
        <is>
          <t>No Purchase</t>
        </is>
      </c>
      <c r="K211" s="17" t="inlineStr">
        <is>
          <t>Completed</t>
        </is>
      </c>
      <c r="L211" s="17" t="inlineStr">
        <is>
          <t>Paid</t>
        </is>
      </c>
      <c r="M211" s="17" t="n">
        <v>29</v>
      </c>
      <c r="N211" s="17" t="inlineStr">
        <is>
          <t>No</t>
        </is>
      </c>
      <c r="O211" s="17">
        <f>TEXT(G211,"yyyy-mm")</f>
        <v/>
      </c>
      <c r="P211" s="17">
        <f>IF(H211&lt;20,"Low",IF(H211&lt;=60,"Medium","High"))</f>
        <v/>
      </c>
      <c r="Q211" s="17">
        <f>IF(I211&gt;0,"Yes","No")</f>
        <v/>
      </c>
      <c r="R211" s="17">
        <f>IF(N211="Yes",1,0)</f>
        <v/>
      </c>
      <c r="S211" s="17">
        <f>IF(N211=IF(OR(H211&gt;150,I211&gt;40),"Yes","No"),"Match","Mismatch")</f>
        <v/>
      </c>
    </row>
    <row r="212">
      <c r="A212" s="17" t="inlineStr">
        <is>
          <t>S00065</t>
        </is>
      </c>
      <c r="B212" s="17" t="inlineStr">
        <is>
          <t>P5717</t>
        </is>
      </c>
      <c r="C212" s="17" t="inlineStr">
        <is>
          <t>palmerashley</t>
        </is>
      </c>
      <c r="D212" s="17" t="inlineStr">
        <is>
          <t>Empire Wars</t>
        </is>
      </c>
      <c r="E212" s="17" t="inlineStr">
        <is>
          <t>PC</t>
        </is>
      </c>
      <c r="F212" s="17" t="inlineStr">
        <is>
          <t>East</t>
        </is>
      </c>
      <c r="G212" s="18" t="n">
        <v>45713</v>
      </c>
      <c r="H212" s="17" t="n">
        <v>7</v>
      </c>
      <c r="I212" s="17" t="n">
        <v>0</v>
      </c>
      <c r="J212" s="17" t="inlineStr">
        <is>
          <t>No Purchase</t>
        </is>
      </c>
      <c r="K212" s="17" t="inlineStr">
        <is>
          <t>Incomplete</t>
        </is>
      </c>
      <c r="L212" s="17" t="inlineStr">
        <is>
          <t>Free</t>
        </is>
      </c>
      <c r="M212" s="17" t="n">
        <v>32</v>
      </c>
      <c r="N212" s="17" t="inlineStr">
        <is>
          <t>No</t>
        </is>
      </c>
      <c r="O212" s="17">
        <f>TEXT(G212,"yyyy-mm")</f>
        <v/>
      </c>
      <c r="P212" s="17">
        <f>IF(H212&lt;20,"Low",IF(H212&lt;=60,"Medium","High"))</f>
        <v/>
      </c>
      <c r="Q212" s="17">
        <f>IF(I212&gt;0,"Yes","No")</f>
        <v/>
      </c>
      <c r="R212" s="17">
        <f>IF(N212="Yes",1,0)</f>
        <v/>
      </c>
      <c r="S212" s="17">
        <f>IF(N212=IF(OR(H212&gt;150,I212&gt;40),"Yes","No"),"Match","Mismatch")</f>
        <v/>
      </c>
    </row>
    <row r="213">
      <c r="A213" s="17" t="inlineStr">
        <is>
          <t>S00441</t>
        </is>
      </c>
      <c r="B213" s="17" t="inlineStr">
        <is>
          <t>P4138</t>
        </is>
      </c>
      <c r="C213" s="17" t="inlineStr">
        <is>
          <t>ecooley</t>
        </is>
      </c>
      <c r="D213" s="17" t="inlineStr">
        <is>
          <t>BattleZone</t>
        </is>
      </c>
      <c r="E213" s="17" t="inlineStr">
        <is>
          <t>Mobile</t>
        </is>
      </c>
      <c r="F213" s="17" t="inlineStr">
        <is>
          <t>East</t>
        </is>
      </c>
      <c r="G213" s="18" t="n">
        <v>45713</v>
      </c>
      <c r="H213" s="17" t="n">
        <v>150</v>
      </c>
      <c r="I213" s="17" t="n">
        <v>0</v>
      </c>
      <c r="J213" s="17" t="inlineStr">
        <is>
          <t>No Purchase</t>
        </is>
      </c>
      <c r="K213" s="17" t="inlineStr">
        <is>
          <t>Completed</t>
        </is>
      </c>
      <c r="L213" s="17" t="inlineStr">
        <is>
          <t>Free</t>
        </is>
      </c>
      <c r="M213" s="17" t="n">
        <v>46</v>
      </c>
      <c r="N213" s="17" t="inlineStr">
        <is>
          <t>No</t>
        </is>
      </c>
      <c r="O213" s="17">
        <f>TEXT(G213,"yyyy-mm")</f>
        <v/>
      </c>
      <c r="P213" s="17">
        <f>IF(H213&lt;20,"Low",IF(H213&lt;=60,"Medium","High"))</f>
        <v/>
      </c>
      <c r="Q213" s="17">
        <f>IF(I213&gt;0,"Yes","No")</f>
        <v/>
      </c>
      <c r="R213" s="17">
        <f>IF(N213="Yes",1,0)</f>
        <v/>
      </c>
      <c r="S213" s="17">
        <f>IF(N213=IF(OR(H213&gt;150,I213&gt;40),"Yes","No"),"Match","Mismatch")</f>
        <v/>
      </c>
    </row>
    <row r="214">
      <c r="A214" s="17" t="inlineStr">
        <is>
          <t>S00475</t>
        </is>
      </c>
      <c r="B214" s="17" t="inlineStr">
        <is>
          <t>P8912</t>
        </is>
      </c>
      <c r="C214" s="17" t="inlineStr">
        <is>
          <t>paula25</t>
        </is>
      </c>
      <c r="D214" s="17" t="inlineStr">
        <is>
          <t>BattleZone</t>
        </is>
      </c>
      <c r="E214" s="17" t="inlineStr">
        <is>
          <t>Mobile</t>
        </is>
      </c>
      <c r="F214" s="17" t="inlineStr">
        <is>
          <t>West</t>
        </is>
      </c>
      <c r="G214" s="18" t="n">
        <v>45714</v>
      </c>
      <c r="H214" s="17" t="n">
        <v>54</v>
      </c>
      <c r="I214" s="17" t="n">
        <v>19.65</v>
      </c>
      <c r="J214" s="17" t="inlineStr">
        <is>
          <t>Skins</t>
        </is>
      </c>
      <c r="K214" s="17" t="inlineStr">
        <is>
          <t>Completed</t>
        </is>
      </c>
      <c r="L214" s="17" t="inlineStr">
        <is>
          <t>Paid</t>
        </is>
      </c>
      <c r="M214" s="17" t="n">
        <v>38</v>
      </c>
      <c r="N214" s="17" t="inlineStr">
        <is>
          <t>No</t>
        </is>
      </c>
      <c r="O214" s="17">
        <f>TEXT(G214,"yyyy-mm")</f>
        <v/>
      </c>
      <c r="P214" s="17">
        <f>IF(H214&lt;20,"Low",IF(H214&lt;=60,"Medium","High"))</f>
        <v/>
      </c>
      <c r="Q214" s="17">
        <f>IF(I214&gt;0,"Yes","No")</f>
        <v/>
      </c>
      <c r="R214" s="17">
        <f>IF(N214="Yes",1,0)</f>
        <v/>
      </c>
      <c r="S214" s="17">
        <f>IF(N214=IF(OR(H214&gt;150,I214&gt;40),"Yes","No"),"Match","Mismatch")</f>
        <v/>
      </c>
    </row>
    <row r="215">
      <c r="A215" s="17" t="inlineStr">
        <is>
          <t>S00453</t>
        </is>
      </c>
      <c r="B215" s="17" t="inlineStr">
        <is>
          <t>P7874</t>
        </is>
      </c>
      <c r="C215" s="17" t="inlineStr">
        <is>
          <t>gloriajohnson</t>
        </is>
      </c>
      <c r="D215" s="17" t="inlineStr">
        <is>
          <t>Empire Wars</t>
        </is>
      </c>
      <c r="E215" s="17" t="inlineStr">
        <is>
          <t>PC</t>
        </is>
      </c>
      <c r="F215" s="17" t="inlineStr">
        <is>
          <t>West</t>
        </is>
      </c>
      <c r="G215" s="18" t="n">
        <v>45714</v>
      </c>
      <c r="H215" s="17" t="n">
        <v>11</v>
      </c>
      <c r="I215" s="17" t="n">
        <v>0</v>
      </c>
      <c r="J215" s="17" t="inlineStr">
        <is>
          <t>No Purchase</t>
        </is>
      </c>
      <c r="K215" s="17" t="inlineStr">
        <is>
          <t>Exited Early</t>
        </is>
      </c>
      <c r="L215" s="17" t="inlineStr">
        <is>
          <t>Free</t>
        </is>
      </c>
      <c r="M215" s="17" t="n">
        <v>12</v>
      </c>
      <c r="N215" s="17" t="inlineStr">
        <is>
          <t>No</t>
        </is>
      </c>
      <c r="O215" s="17">
        <f>TEXT(G215,"yyyy-mm")</f>
        <v/>
      </c>
      <c r="P215" s="17">
        <f>IF(H215&lt;20,"Low",IF(H215&lt;=60,"Medium","High"))</f>
        <v/>
      </c>
      <c r="Q215" s="17">
        <f>IF(I215&gt;0,"Yes","No")</f>
        <v/>
      </c>
      <c r="R215" s="17">
        <f>IF(N215="Yes",1,0)</f>
        <v/>
      </c>
      <c r="S215" s="17">
        <f>IF(N215=IF(OR(H215&gt;150,I215&gt;40),"Yes","No"),"Match","Mismatch")</f>
        <v/>
      </c>
    </row>
    <row r="216">
      <c r="A216" s="17" t="inlineStr">
        <is>
          <t>S00187</t>
        </is>
      </c>
      <c r="B216" s="17" t="inlineStr">
        <is>
          <t>P6989</t>
        </is>
      </c>
      <c r="C216" s="17" t="inlineStr">
        <is>
          <t>schultzkatherine</t>
        </is>
      </c>
      <c r="D216" s="17" t="inlineStr">
        <is>
          <t>BattleZone</t>
        </is>
      </c>
      <c r="E216" s="17" t="inlineStr">
        <is>
          <t>PC</t>
        </is>
      </c>
      <c r="F216" s="17" t="inlineStr">
        <is>
          <t>West</t>
        </is>
      </c>
      <c r="G216" s="18" t="n">
        <v>45714</v>
      </c>
      <c r="H216" s="17" t="n">
        <v>128</v>
      </c>
      <c r="I216" s="17" t="n">
        <v>0</v>
      </c>
      <c r="J216" s="17" t="inlineStr">
        <is>
          <t>No Purchase</t>
        </is>
      </c>
      <c r="K216" s="17" t="inlineStr">
        <is>
          <t>Crashed</t>
        </is>
      </c>
      <c r="L216" s="17" t="inlineStr">
        <is>
          <t>Free</t>
        </is>
      </c>
      <c r="M216" s="17" t="n">
        <v>36</v>
      </c>
      <c r="N216" s="17" t="inlineStr">
        <is>
          <t>No</t>
        </is>
      </c>
      <c r="O216" s="17">
        <f>TEXT(G216,"yyyy-mm")</f>
        <v/>
      </c>
      <c r="P216" s="17">
        <f>IF(H216&lt;20,"Low",IF(H216&lt;=60,"Medium","High"))</f>
        <v/>
      </c>
      <c r="Q216" s="17">
        <f>IF(I216&gt;0,"Yes","No")</f>
        <v/>
      </c>
      <c r="R216" s="17">
        <f>IF(N216="Yes",1,0)</f>
        <v/>
      </c>
      <c r="S216" s="17">
        <f>IF(N216=IF(OR(H216&gt;150,I216&gt;40),"Yes","No"),"Match","Mismatch")</f>
        <v/>
      </c>
    </row>
    <row r="217">
      <c r="A217" s="17" t="inlineStr">
        <is>
          <t>S00369</t>
        </is>
      </c>
      <c r="B217" s="17" t="inlineStr">
        <is>
          <t>P6367</t>
        </is>
      </c>
      <c r="C217" s="17" t="inlineStr">
        <is>
          <t>iyoung</t>
        </is>
      </c>
      <c r="D217" s="17" t="inlineStr">
        <is>
          <t>SpeedX</t>
        </is>
      </c>
      <c r="E217" s="17" t="inlineStr">
        <is>
          <t>PC</t>
        </is>
      </c>
      <c r="F217" s="17" t="inlineStr">
        <is>
          <t>Central</t>
        </is>
      </c>
      <c r="G217" s="18" t="n">
        <v>45714</v>
      </c>
      <c r="H217" s="17" t="n">
        <v>67</v>
      </c>
      <c r="I217" s="17" t="n">
        <v>0</v>
      </c>
      <c r="J217" s="17" t="inlineStr">
        <is>
          <t>No Purchase</t>
        </is>
      </c>
      <c r="K217" s="17" t="inlineStr">
        <is>
          <t>Exited Early</t>
        </is>
      </c>
      <c r="L217" s="17" t="inlineStr">
        <is>
          <t>Free</t>
        </is>
      </c>
      <c r="M217" s="17" t="n">
        <v>48</v>
      </c>
      <c r="N217" s="17" t="inlineStr">
        <is>
          <t>No</t>
        </is>
      </c>
      <c r="O217" s="17">
        <f>TEXT(G217,"yyyy-mm")</f>
        <v/>
      </c>
      <c r="P217" s="17">
        <f>IF(H217&lt;20,"Low",IF(H217&lt;=60,"Medium","High"))</f>
        <v/>
      </c>
      <c r="Q217" s="17">
        <f>IF(I217&gt;0,"Yes","No")</f>
        <v/>
      </c>
      <c r="R217" s="17">
        <f>IF(N217="Yes",1,0)</f>
        <v/>
      </c>
      <c r="S217" s="17">
        <f>IF(N217=IF(OR(H217&gt;150,I217&gt;40),"Yes","No"),"Match","Mismatch")</f>
        <v/>
      </c>
    </row>
    <row r="218">
      <c r="A218" s="17" t="inlineStr">
        <is>
          <t>S00175</t>
        </is>
      </c>
      <c r="B218" s="17" t="inlineStr">
        <is>
          <t>P6406</t>
        </is>
      </c>
      <c r="C218" s="17" t="inlineStr">
        <is>
          <t>shannonevans</t>
        </is>
      </c>
      <c r="D218" s="17" t="inlineStr">
        <is>
          <t>SpeedX</t>
        </is>
      </c>
      <c r="E218" s="17" t="inlineStr">
        <is>
          <t>Console</t>
        </is>
      </c>
      <c r="F218" s="17" t="inlineStr">
        <is>
          <t>East</t>
        </is>
      </c>
      <c r="G218" s="18" t="n">
        <v>45715</v>
      </c>
      <c r="H218" s="17" t="n">
        <v>138</v>
      </c>
      <c r="I218" s="17" t="n">
        <v>27.01</v>
      </c>
      <c r="J218" s="17" t="inlineStr">
        <is>
          <t>Boosters</t>
        </is>
      </c>
      <c r="K218" s="17" t="inlineStr">
        <is>
          <t>Completed</t>
        </is>
      </c>
      <c r="L218" s="17" t="inlineStr">
        <is>
          <t>Paid</t>
        </is>
      </c>
      <c r="M218" s="17" t="n">
        <v>18</v>
      </c>
      <c r="N218" s="17" t="inlineStr">
        <is>
          <t>No</t>
        </is>
      </c>
      <c r="O218" s="17">
        <f>TEXT(G218,"yyyy-mm")</f>
        <v/>
      </c>
      <c r="P218" s="17">
        <f>IF(H218&lt;20,"Low",IF(H218&lt;=60,"Medium","High"))</f>
        <v/>
      </c>
      <c r="Q218" s="17">
        <f>IF(I218&gt;0,"Yes","No")</f>
        <v/>
      </c>
      <c r="R218" s="17">
        <f>IF(N218="Yes",1,0)</f>
        <v/>
      </c>
      <c r="S218" s="17">
        <f>IF(N218=IF(OR(H218&gt;150,I218&gt;40),"Yes","No"),"Match","Mismatch")</f>
        <v/>
      </c>
    </row>
    <row r="219">
      <c r="A219" s="17" t="inlineStr">
        <is>
          <t>S00049</t>
        </is>
      </c>
      <c r="B219" s="17" t="inlineStr">
        <is>
          <t>P2502</t>
        </is>
      </c>
      <c r="C219" s="17" t="inlineStr">
        <is>
          <t>owensjoseph</t>
        </is>
      </c>
      <c r="D219" s="17" t="inlineStr">
        <is>
          <t>Zombie Rush</t>
        </is>
      </c>
      <c r="E219" s="17" t="inlineStr">
        <is>
          <t>Mobile</t>
        </is>
      </c>
      <c r="F219" s="17" t="inlineStr">
        <is>
          <t>Central</t>
        </is>
      </c>
      <c r="G219" s="18" t="n">
        <v>45715</v>
      </c>
      <c r="H219" s="17" t="n">
        <v>27</v>
      </c>
      <c r="I219" s="17" t="n">
        <v>0</v>
      </c>
      <c r="J219" s="17" t="inlineStr">
        <is>
          <t>No Purchase</t>
        </is>
      </c>
      <c r="K219" s="17" t="inlineStr">
        <is>
          <t>Completed</t>
        </is>
      </c>
      <c r="L219" s="17" t="inlineStr">
        <is>
          <t>Free</t>
        </is>
      </c>
      <c r="M219" s="17" t="n">
        <v>39</v>
      </c>
      <c r="N219" s="17" t="inlineStr">
        <is>
          <t>No</t>
        </is>
      </c>
      <c r="O219" s="17">
        <f>TEXT(G219,"yyyy-mm")</f>
        <v/>
      </c>
      <c r="P219" s="17">
        <f>IF(H219&lt;20,"Low",IF(H219&lt;=60,"Medium","High"))</f>
        <v/>
      </c>
      <c r="Q219" s="17">
        <f>IF(I219&gt;0,"Yes","No")</f>
        <v/>
      </c>
      <c r="R219" s="17">
        <f>IF(N219="Yes",1,0)</f>
        <v/>
      </c>
      <c r="S219" s="17">
        <f>IF(N219=IF(OR(H219&gt;150,I219&gt;40),"Yes","No"),"Match","Mismatch")</f>
        <v/>
      </c>
    </row>
    <row r="220">
      <c r="A220" s="17" t="inlineStr">
        <is>
          <t>S00113</t>
        </is>
      </c>
      <c r="B220" s="17" t="inlineStr">
        <is>
          <t>P7599</t>
        </is>
      </c>
      <c r="C220" s="17" t="inlineStr">
        <is>
          <t>fuentesmelanie</t>
        </is>
      </c>
      <c r="D220" s="17" t="inlineStr">
        <is>
          <t>BattleZone</t>
        </is>
      </c>
      <c r="E220" s="17" t="inlineStr">
        <is>
          <t>PC</t>
        </is>
      </c>
      <c r="F220" s="17" t="inlineStr">
        <is>
          <t>North</t>
        </is>
      </c>
      <c r="G220" s="18" t="n">
        <v>45715</v>
      </c>
      <c r="H220" s="17" t="n">
        <v>33</v>
      </c>
      <c r="I220" s="17" t="n">
        <v>0</v>
      </c>
      <c r="J220" s="17" t="inlineStr">
        <is>
          <t>No Purchase</t>
        </is>
      </c>
      <c r="K220" s="17" t="inlineStr">
        <is>
          <t>Completed</t>
        </is>
      </c>
      <c r="L220" s="17" t="inlineStr">
        <is>
          <t>Free</t>
        </is>
      </c>
      <c r="M220" s="17" t="n">
        <v>46</v>
      </c>
      <c r="N220" s="17" t="inlineStr">
        <is>
          <t>No</t>
        </is>
      </c>
      <c r="O220" s="17">
        <f>TEXT(G220,"yyyy-mm")</f>
        <v/>
      </c>
      <c r="P220" s="17">
        <f>IF(H220&lt;20,"Low",IF(H220&lt;=60,"Medium","High"))</f>
        <v/>
      </c>
      <c r="Q220" s="17">
        <f>IF(I220&gt;0,"Yes","No")</f>
        <v/>
      </c>
      <c r="R220" s="17">
        <f>IF(N220="Yes",1,0)</f>
        <v/>
      </c>
      <c r="S220" s="17">
        <f>IF(N220=IF(OR(H220&gt;150,I220&gt;40),"Yes","No"),"Match","Mismatch")</f>
        <v/>
      </c>
    </row>
    <row r="221">
      <c r="A221" s="17" t="inlineStr">
        <is>
          <t>S00088</t>
        </is>
      </c>
      <c r="B221" s="17" t="inlineStr">
        <is>
          <t>P5000</t>
        </is>
      </c>
      <c r="C221" s="17" t="inlineStr">
        <is>
          <t>shenderson</t>
        </is>
      </c>
      <c r="D221" s="17" t="inlineStr">
        <is>
          <t>SpeedX</t>
        </is>
      </c>
      <c r="E221" s="17" t="inlineStr">
        <is>
          <t>PC</t>
        </is>
      </c>
      <c r="F221" s="17" t="inlineStr">
        <is>
          <t>North</t>
        </is>
      </c>
      <c r="G221" s="18" t="n">
        <v>45715</v>
      </c>
      <c r="H221" s="17" t="n">
        <v>54</v>
      </c>
      <c r="I221" s="17" t="n">
        <v>35.79</v>
      </c>
      <c r="J221" s="17" t="inlineStr">
        <is>
          <t>Skins</t>
        </is>
      </c>
      <c r="K221" s="17" t="inlineStr">
        <is>
          <t>Completed</t>
        </is>
      </c>
      <c r="L221" s="17" t="inlineStr">
        <is>
          <t>Paid</t>
        </is>
      </c>
      <c r="M221" s="17" t="n">
        <v>42</v>
      </c>
      <c r="N221" s="17" t="inlineStr">
        <is>
          <t>No</t>
        </is>
      </c>
      <c r="O221" s="17">
        <f>TEXT(G221,"yyyy-mm")</f>
        <v/>
      </c>
      <c r="P221" s="17">
        <f>IF(H221&lt;20,"Low",IF(H221&lt;=60,"Medium","High"))</f>
        <v/>
      </c>
      <c r="Q221" s="17">
        <f>IF(I221&gt;0,"Yes","No")</f>
        <v/>
      </c>
      <c r="R221" s="17">
        <f>IF(N221="Yes",1,0)</f>
        <v/>
      </c>
      <c r="S221" s="17">
        <f>IF(N221=IF(OR(H221&gt;150,I221&gt;40),"Yes","No"),"Match","Mismatch")</f>
        <v/>
      </c>
    </row>
    <row r="222">
      <c r="A222" s="17" t="inlineStr">
        <is>
          <t>S00238</t>
        </is>
      </c>
      <c r="B222" s="17" t="inlineStr">
        <is>
          <t>P4599</t>
        </is>
      </c>
      <c r="C222" s="17" t="inlineStr">
        <is>
          <t>wrightjulia</t>
        </is>
      </c>
      <c r="D222" s="17" t="inlineStr">
        <is>
          <t>Clash of Realms</t>
        </is>
      </c>
      <c r="E222" s="17" t="inlineStr">
        <is>
          <t>Mobile</t>
        </is>
      </c>
      <c r="F222" s="17" t="inlineStr">
        <is>
          <t>North</t>
        </is>
      </c>
      <c r="G222" s="18" t="n">
        <v>45715</v>
      </c>
      <c r="H222" s="17" t="n">
        <v>117</v>
      </c>
      <c r="I222" s="17" t="n">
        <v>0</v>
      </c>
      <c r="J222" s="17" t="inlineStr">
        <is>
          <t>No Purchase</t>
        </is>
      </c>
      <c r="K222" s="17" t="inlineStr">
        <is>
          <t>Exited Early</t>
        </is>
      </c>
      <c r="L222" s="17" t="inlineStr">
        <is>
          <t>Free</t>
        </is>
      </c>
      <c r="M222" s="17" t="n">
        <v>21</v>
      </c>
      <c r="N222" s="17" t="inlineStr">
        <is>
          <t>No</t>
        </is>
      </c>
      <c r="O222" s="17">
        <f>TEXT(G222,"yyyy-mm")</f>
        <v/>
      </c>
      <c r="P222" s="17">
        <f>IF(H222&lt;20,"Low",IF(H222&lt;=60,"Medium","High"))</f>
        <v/>
      </c>
      <c r="Q222" s="17">
        <f>IF(I222&gt;0,"Yes","No")</f>
        <v/>
      </c>
      <c r="R222" s="17">
        <f>IF(N222="Yes",1,0)</f>
        <v/>
      </c>
      <c r="S222" s="17">
        <f>IF(N222=IF(OR(H222&gt;150,I222&gt;40),"Yes","No"),"Match","Mismatch")</f>
        <v/>
      </c>
    </row>
    <row r="223">
      <c r="A223" s="17" t="inlineStr">
        <is>
          <t>S00188</t>
        </is>
      </c>
      <c r="B223" s="17" t="inlineStr">
        <is>
          <t>P5714</t>
        </is>
      </c>
      <c r="C223" s="17" t="inlineStr">
        <is>
          <t>romerostephanie</t>
        </is>
      </c>
      <c r="D223" s="17" t="inlineStr">
        <is>
          <t>BattleZone</t>
        </is>
      </c>
      <c r="E223" s="17" t="inlineStr">
        <is>
          <t>Console</t>
        </is>
      </c>
      <c r="F223" s="17" t="inlineStr">
        <is>
          <t>North</t>
        </is>
      </c>
      <c r="G223" s="18" t="n">
        <v>45716</v>
      </c>
      <c r="H223" s="17" t="n">
        <v>16</v>
      </c>
      <c r="I223" s="17" t="n">
        <v>36</v>
      </c>
      <c r="J223" s="17" t="inlineStr">
        <is>
          <t>Skins</t>
        </is>
      </c>
      <c r="K223" s="17" t="inlineStr">
        <is>
          <t>Completed</t>
        </is>
      </c>
      <c r="L223" s="17" t="inlineStr">
        <is>
          <t>Paid</t>
        </is>
      </c>
      <c r="M223" s="17" t="n">
        <v>40</v>
      </c>
      <c r="N223" s="17" t="inlineStr">
        <is>
          <t>No</t>
        </is>
      </c>
      <c r="O223" s="17">
        <f>TEXT(G223,"yyyy-mm")</f>
        <v/>
      </c>
      <c r="P223" s="17">
        <f>IF(H223&lt;20,"Low",IF(H223&lt;=60,"Medium","High"))</f>
        <v/>
      </c>
      <c r="Q223" s="17">
        <f>IF(I223&gt;0,"Yes","No")</f>
        <v/>
      </c>
      <c r="R223" s="17">
        <f>IF(N223="Yes",1,0)</f>
        <v/>
      </c>
      <c r="S223" s="17">
        <f>IF(N223=IF(OR(H223&gt;150,I223&gt;40),"Yes","No"),"Match","Mismatch")</f>
        <v/>
      </c>
    </row>
    <row r="224">
      <c r="A224" s="17" t="inlineStr">
        <is>
          <t>S00174</t>
        </is>
      </c>
      <c r="B224" s="17" t="inlineStr">
        <is>
          <t>P4796</t>
        </is>
      </c>
      <c r="C224" s="17" t="inlineStr">
        <is>
          <t>okoch</t>
        </is>
      </c>
      <c r="D224" s="17" t="inlineStr">
        <is>
          <t>Clash of Realms</t>
        </is>
      </c>
      <c r="E224" s="17" t="inlineStr">
        <is>
          <t>PC</t>
        </is>
      </c>
      <c r="F224" s="17" t="inlineStr">
        <is>
          <t>West</t>
        </is>
      </c>
      <c r="G224" s="18" t="n">
        <v>45716</v>
      </c>
      <c r="H224" s="17" t="n">
        <v>84</v>
      </c>
      <c r="I224" s="17" t="n">
        <v>0</v>
      </c>
      <c r="J224" s="17" t="inlineStr">
        <is>
          <t>No Purchase</t>
        </is>
      </c>
      <c r="K224" s="17" t="inlineStr">
        <is>
          <t>Completed</t>
        </is>
      </c>
      <c r="L224" s="17" t="inlineStr">
        <is>
          <t>Free</t>
        </is>
      </c>
      <c r="M224" s="17" t="n">
        <v>15</v>
      </c>
      <c r="N224" s="17" t="inlineStr">
        <is>
          <t>No</t>
        </is>
      </c>
      <c r="O224" s="17">
        <f>TEXT(G224,"yyyy-mm")</f>
        <v/>
      </c>
      <c r="P224" s="17">
        <f>IF(H224&lt;20,"Low",IF(H224&lt;=60,"Medium","High"))</f>
        <v/>
      </c>
      <c r="Q224" s="17">
        <f>IF(I224&gt;0,"Yes","No")</f>
        <v/>
      </c>
      <c r="R224" s="17">
        <f>IF(N224="Yes",1,0)</f>
        <v/>
      </c>
      <c r="S224" s="17">
        <f>IF(N224=IF(OR(H224&gt;150,I224&gt;40),"Yes","No"),"Match","Mismatch")</f>
        <v/>
      </c>
    </row>
    <row r="225">
      <c r="A225" s="17" t="inlineStr">
        <is>
          <t>S00354</t>
        </is>
      </c>
      <c r="B225" s="17" t="inlineStr">
        <is>
          <t>P4996</t>
        </is>
      </c>
      <c r="C225" s="17" t="inlineStr">
        <is>
          <t>jmcknight</t>
        </is>
      </c>
      <c r="D225" s="17" t="inlineStr">
        <is>
          <t>Empire Wars</t>
        </is>
      </c>
      <c r="E225" s="17" t="inlineStr">
        <is>
          <t>Console</t>
        </is>
      </c>
      <c r="F225" s="17" t="inlineStr">
        <is>
          <t>South</t>
        </is>
      </c>
      <c r="G225" s="18" t="n">
        <v>45717</v>
      </c>
      <c r="H225" s="17" t="n">
        <v>136</v>
      </c>
      <c r="I225" s="17" t="n">
        <v>0</v>
      </c>
      <c r="J225" s="17" t="inlineStr">
        <is>
          <t>No Purchase</t>
        </is>
      </c>
      <c r="K225" s="17" t="inlineStr">
        <is>
          <t>Completed</t>
        </is>
      </c>
      <c r="L225" s="17" t="inlineStr">
        <is>
          <t>Free</t>
        </is>
      </c>
      <c r="M225" s="17" t="n">
        <v>50</v>
      </c>
      <c r="N225" s="17" t="inlineStr">
        <is>
          <t>No</t>
        </is>
      </c>
      <c r="O225" s="17">
        <f>TEXT(G225,"yyyy-mm")</f>
        <v/>
      </c>
      <c r="P225" s="17">
        <f>IF(H225&lt;20,"Low",IF(H225&lt;=60,"Medium","High"))</f>
        <v/>
      </c>
      <c r="Q225" s="17">
        <f>IF(I225&gt;0,"Yes","No")</f>
        <v/>
      </c>
      <c r="R225" s="17">
        <f>IF(N225="Yes",1,0)</f>
        <v/>
      </c>
      <c r="S225" s="17">
        <f>IF(N225=IF(OR(H225&gt;150,I225&gt;40),"Yes","No"),"Match","Mismatch")</f>
        <v/>
      </c>
    </row>
    <row r="226">
      <c r="A226" s="17" t="inlineStr">
        <is>
          <t>S00483</t>
        </is>
      </c>
      <c r="B226" s="17" t="inlineStr">
        <is>
          <t>P6524</t>
        </is>
      </c>
      <c r="C226" s="17" t="inlineStr">
        <is>
          <t>jhayes</t>
        </is>
      </c>
      <c r="D226" s="17" t="inlineStr">
        <is>
          <t>Zombie Rush</t>
        </is>
      </c>
      <c r="E226" s="17" t="inlineStr">
        <is>
          <t>Mobile</t>
        </is>
      </c>
      <c r="F226" s="17" t="inlineStr">
        <is>
          <t>North-East</t>
        </is>
      </c>
      <c r="G226" s="18" t="n">
        <v>45717</v>
      </c>
      <c r="H226" s="17" t="n">
        <v>149</v>
      </c>
      <c r="I226" s="17" t="n">
        <v>5.05</v>
      </c>
      <c r="J226" s="17" t="inlineStr">
        <is>
          <t>Boosters</t>
        </is>
      </c>
      <c r="K226" s="17" t="inlineStr">
        <is>
          <t>Completed</t>
        </is>
      </c>
      <c r="L226" s="17" t="inlineStr">
        <is>
          <t>Paid</t>
        </is>
      </c>
      <c r="M226" s="17" t="n">
        <v>44</v>
      </c>
      <c r="N226" s="17" t="inlineStr">
        <is>
          <t>No</t>
        </is>
      </c>
      <c r="O226" s="17">
        <f>TEXT(G226,"yyyy-mm")</f>
        <v/>
      </c>
      <c r="P226" s="17">
        <f>IF(H226&lt;20,"Low",IF(H226&lt;=60,"Medium","High"))</f>
        <v/>
      </c>
      <c r="Q226" s="17">
        <f>IF(I226&gt;0,"Yes","No")</f>
        <v/>
      </c>
      <c r="R226" s="17">
        <f>IF(N226="Yes",1,0)</f>
        <v/>
      </c>
      <c r="S226" s="17">
        <f>IF(N226=IF(OR(H226&gt;150,I226&gt;40),"Yes","No"),"Match","Mismatch")</f>
        <v/>
      </c>
    </row>
    <row r="227">
      <c r="A227" s="17" t="inlineStr">
        <is>
          <t>S00046</t>
        </is>
      </c>
      <c r="B227" s="17" t="inlineStr">
        <is>
          <t>P5339</t>
        </is>
      </c>
      <c r="C227" s="17" t="inlineStr">
        <is>
          <t>jcarter</t>
        </is>
      </c>
      <c r="D227" s="17" t="inlineStr">
        <is>
          <t>SpeedX</t>
        </is>
      </c>
      <c r="E227" s="17" t="inlineStr">
        <is>
          <t>Console</t>
        </is>
      </c>
      <c r="F227" s="17" t="inlineStr">
        <is>
          <t>South</t>
        </is>
      </c>
      <c r="G227" s="18" t="n">
        <v>45717</v>
      </c>
      <c r="H227" s="17" t="n">
        <v>8</v>
      </c>
      <c r="I227" s="17" t="n">
        <v>0</v>
      </c>
      <c r="J227" s="17" t="inlineStr">
        <is>
          <t>No Purchase</t>
        </is>
      </c>
      <c r="K227" s="17" t="inlineStr">
        <is>
          <t>Completed</t>
        </is>
      </c>
      <c r="L227" s="17" t="inlineStr">
        <is>
          <t>Free</t>
        </is>
      </c>
      <c r="M227" s="17" t="n">
        <v>33</v>
      </c>
      <c r="N227" s="17" t="inlineStr">
        <is>
          <t>No</t>
        </is>
      </c>
      <c r="O227" s="17">
        <f>TEXT(G227,"yyyy-mm")</f>
        <v/>
      </c>
      <c r="P227" s="17">
        <f>IF(H227&lt;20,"Low",IF(H227&lt;=60,"Medium","High"))</f>
        <v/>
      </c>
      <c r="Q227" s="17">
        <f>IF(I227&gt;0,"Yes","No")</f>
        <v/>
      </c>
      <c r="R227" s="17">
        <f>IF(N227="Yes",1,0)</f>
        <v/>
      </c>
      <c r="S227" s="17">
        <f>IF(N227=IF(OR(H227&gt;150,I227&gt;40),"Yes","No"),"Match","Mismatch")</f>
        <v/>
      </c>
    </row>
    <row r="228">
      <c r="A228" s="17" t="inlineStr">
        <is>
          <t>S00193</t>
        </is>
      </c>
      <c r="B228" s="17" t="inlineStr">
        <is>
          <t>P3866</t>
        </is>
      </c>
      <c r="C228" s="17" t="inlineStr">
        <is>
          <t>natashamartin</t>
        </is>
      </c>
      <c r="D228" s="17" t="inlineStr">
        <is>
          <t>Clash of Realms</t>
        </is>
      </c>
      <c r="E228" s="17" t="inlineStr">
        <is>
          <t>PC</t>
        </is>
      </c>
      <c r="F228" s="17" t="inlineStr">
        <is>
          <t>North-East</t>
        </is>
      </c>
      <c r="G228" s="18" t="n">
        <v>45717</v>
      </c>
      <c r="H228" s="17" t="n">
        <v>53</v>
      </c>
      <c r="I228" s="17" t="n">
        <v>0</v>
      </c>
      <c r="J228" s="17" t="inlineStr">
        <is>
          <t>No Purchase</t>
        </is>
      </c>
      <c r="K228" s="17" t="inlineStr">
        <is>
          <t>Incomplete</t>
        </is>
      </c>
      <c r="L228" s="17" t="inlineStr">
        <is>
          <t>Free</t>
        </is>
      </c>
      <c r="M228" s="17" t="n">
        <v>28</v>
      </c>
      <c r="N228" s="17" t="inlineStr">
        <is>
          <t>No</t>
        </is>
      </c>
      <c r="O228" s="17">
        <f>TEXT(G228,"yyyy-mm")</f>
        <v/>
      </c>
      <c r="P228" s="17">
        <f>IF(H228&lt;20,"Low",IF(H228&lt;=60,"Medium","High"))</f>
        <v/>
      </c>
      <c r="Q228" s="17">
        <f>IF(I228&gt;0,"Yes","No")</f>
        <v/>
      </c>
      <c r="R228" s="17">
        <f>IF(N228="Yes",1,0)</f>
        <v/>
      </c>
      <c r="S228" s="17">
        <f>IF(N228=IF(OR(H228&gt;150,I228&gt;40),"Yes","No"),"Match","Mismatch")</f>
        <v/>
      </c>
    </row>
    <row r="229">
      <c r="A229" s="17" t="inlineStr">
        <is>
          <t>S00015</t>
        </is>
      </c>
      <c r="B229" s="17" t="inlineStr">
        <is>
          <t>P9150</t>
        </is>
      </c>
      <c r="C229" s="17" t="inlineStr">
        <is>
          <t>lesliemiller</t>
        </is>
      </c>
      <c r="D229" s="17" t="inlineStr">
        <is>
          <t>Empire Wars</t>
        </is>
      </c>
      <c r="E229" s="17" t="inlineStr">
        <is>
          <t>PC</t>
        </is>
      </c>
      <c r="F229" s="17" t="inlineStr">
        <is>
          <t>West</t>
        </is>
      </c>
      <c r="G229" s="18" t="n">
        <v>45719</v>
      </c>
      <c r="H229" s="17" t="n">
        <v>151</v>
      </c>
      <c r="I229" s="17" t="n">
        <v>0</v>
      </c>
      <c r="J229" s="17" t="inlineStr">
        <is>
          <t>No Purchase</t>
        </is>
      </c>
      <c r="K229" s="17" t="inlineStr">
        <is>
          <t>Completed</t>
        </is>
      </c>
      <c r="L229" s="17" t="inlineStr">
        <is>
          <t>Free</t>
        </is>
      </c>
      <c r="M229" s="17" t="n">
        <v>47</v>
      </c>
      <c r="N229" s="17" t="inlineStr">
        <is>
          <t>Yes</t>
        </is>
      </c>
      <c r="O229" s="17">
        <f>TEXT(G229,"yyyy-mm")</f>
        <v/>
      </c>
      <c r="P229" s="17">
        <f>IF(H229&lt;20,"Low",IF(H229&lt;=60,"Medium","High"))</f>
        <v/>
      </c>
      <c r="Q229" s="17">
        <f>IF(I229&gt;0,"Yes","No")</f>
        <v/>
      </c>
      <c r="R229" s="17">
        <f>IF(N229="Yes",1,0)</f>
        <v/>
      </c>
      <c r="S229" s="17">
        <f>IF(N229=IF(OR(H229&gt;150,I229&gt;40),"Yes","No"),"Match","Mismatch")</f>
        <v/>
      </c>
    </row>
    <row r="230">
      <c r="A230" s="17" t="inlineStr">
        <is>
          <t>S00305</t>
        </is>
      </c>
      <c r="B230" s="17" t="inlineStr">
        <is>
          <t>P2330</t>
        </is>
      </c>
      <c r="C230" s="17" t="inlineStr">
        <is>
          <t>davidmendoza</t>
        </is>
      </c>
      <c r="D230" s="17" t="inlineStr">
        <is>
          <t>Empire Wars</t>
        </is>
      </c>
      <c r="E230" s="17" t="inlineStr">
        <is>
          <t>Console</t>
        </is>
      </c>
      <c r="F230" s="17" t="inlineStr">
        <is>
          <t>North</t>
        </is>
      </c>
      <c r="G230" s="18" t="n">
        <v>45719</v>
      </c>
      <c r="H230" s="17" t="n">
        <v>62</v>
      </c>
      <c r="I230" s="17" t="n">
        <v>0</v>
      </c>
      <c r="J230" s="17" t="inlineStr">
        <is>
          <t>No Purchase</t>
        </is>
      </c>
      <c r="K230" s="17" t="inlineStr">
        <is>
          <t>Incomplete</t>
        </is>
      </c>
      <c r="L230" s="17" t="inlineStr">
        <is>
          <t>Free</t>
        </is>
      </c>
      <c r="M230" s="17" t="n">
        <v>19</v>
      </c>
      <c r="N230" s="17" t="inlineStr">
        <is>
          <t>No</t>
        </is>
      </c>
      <c r="O230" s="17">
        <f>TEXT(G230,"yyyy-mm")</f>
        <v/>
      </c>
      <c r="P230" s="17">
        <f>IF(H230&lt;20,"Low",IF(H230&lt;=60,"Medium","High"))</f>
        <v/>
      </c>
      <c r="Q230" s="17">
        <f>IF(I230&gt;0,"Yes","No")</f>
        <v/>
      </c>
      <c r="R230" s="17">
        <f>IF(N230="Yes",1,0)</f>
        <v/>
      </c>
      <c r="S230" s="17">
        <f>IF(N230=IF(OR(H230&gt;150,I230&gt;40),"Yes","No"),"Match","Mismatch")</f>
        <v/>
      </c>
    </row>
    <row r="231">
      <c r="A231" s="17" t="inlineStr">
        <is>
          <t>S00296</t>
        </is>
      </c>
      <c r="B231" s="17" t="inlineStr">
        <is>
          <t>P1051</t>
        </is>
      </c>
      <c r="C231" s="17" t="inlineStr">
        <is>
          <t>kevin42</t>
        </is>
      </c>
      <c r="D231" s="17" t="inlineStr">
        <is>
          <t>Empire Wars</t>
        </is>
      </c>
      <c r="E231" s="17" t="inlineStr">
        <is>
          <t>PC</t>
        </is>
      </c>
      <c r="F231" s="17" t="inlineStr">
        <is>
          <t>South</t>
        </is>
      </c>
      <c r="G231" s="18" t="n">
        <v>45719</v>
      </c>
      <c r="H231" s="17" t="n">
        <v>178</v>
      </c>
      <c r="I231" s="17" t="n">
        <v>0</v>
      </c>
      <c r="J231" s="17" t="inlineStr">
        <is>
          <t>No Purchase</t>
        </is>
      </c>
      <c r="K231" s="17" t="inlineStr">
        <is>
          <t>Completed</t>
        </is>
      </c>
      <c r="L231" s="17" t="inlineStr">
        <is>
          <t>Free</t>
        </is>
      </c>
      <c r="M231" s="17" t="n">
        <v>30</v>
      </c>
      <c r="N231" s="17" t="inlineStr">
        <is>
          <t>Yes</t>
        </is>
      </c>
      <c r="O231" s="17">
        <f>TEXT(G231,"yyyy-mm")</f>
        <v/>
      </c>
      <c r="P231" s="17">
        <f>IF(H231&lt;20,"Low",IF(H231&lt;=60,"Medium","High"))</f>
        <v/>
      </c>
      <c r="Q231" s="17">
        <f>IF(I231&gt;0,"Yes","No")</f>
        <v/>
      </c>
      <c r="R231" s="17">
        <f>IF(N231="Yes",1,0)</f>
        <v/>
      </c>
      <c r="S231" s="17">
        <f>IF(N231=IF(OR(H231&gt;150,I231&gt;40),"Yes","No"),"Match","Mismatch")</f>
        <v/>
      </c>
    </row>
    <row r="232">
      <c r="A232" s="17" t="inlineStr">
        <is>
          <t>S00087</t>
        </is>
      </c>
      <c r="B232" s="17" t="inlineStr">
        <is>
          <t>P9792</t>
        </is>
      </c>
      <c r="C232" s="17" t="inlineStr">
        <is>
          <t>jack75</t>
        </is>
      </c>
      <c r="D232" s="17" t="inlineStr">
        <is>
          <t>BattleZone</t>
        </is>
      </c>
      <c r="E232" s="17" t="inlineStr">
        <is>
          <t>Console</t>
        </is>
      </c>
      <c r="F232" s="17" t="inlineStr">
        <is>
          <t>South</t>
        </is>
      </c>
      <c r="G232" s="18" t="n">
        <v>45719</v>
      </c>
      <c r="H232" s="17" t="n">
        <v>100</v>
      </c>
      <c r="I232" s="17" t="n">
        <v>0</v>
      </c>
      <c r="J232" s="17" t="inlineStr">
        <is>
          <t>No Purchase</t>
        </is>
      </c>
      <c r="K232" s="17" t="inlineStr">
        <is>
          <t>Completed</t>
        </is>
      </c>
      <c r="L232" s="17" t="inlineStr">
        <is>
          <t>Free</t>
        </is>
      </c>
      <c r="M232" s="17" t="n">
        <v>50</v>
      </c>
      <c r="N232" s="17" t="inlineStr">
        <is>
          <t>No</t>
        </is>
      </c>
      <c r="O232" s="17">
        <f>TEXT(G232,"yyyy-mm")</f>
        <v/>
      </c>
      <c r="P232" s="17">
        <f>IF(H232&lt;20,"Low",IF(H232&lt;=60,"Medium","High"))</f>
        <v/>
      </c>
      <c r="Q232" s="17">
        <f>IF(I232&gt;0,"Yes","No")</f>
        <v/>
      </c>
      <c r="R232" s="17">
        <f>IF(N232="Yes",1,0)</f>
        <v/>
      </c>
      <c r="S232" s="17">
        <f>IF(N232=IF(OR(H232&gt;150,I232&gt;40),"Yes","No"),"Match","Mismatch")</f>
        <v/>
      </c>
    </row>
    <row r="233">
      <c r="A233" s="17" t="inlineStr">
        <is>
          <t>S00289</t>
        </is>
      </c>
      <c r="B233" s="17" t="inlineStr">
        <is>
          <t>P6334</t>
        </is>
      </c>
      <c r="C233" s="17" t="inlineStr">
        <is>
          <t>erictrujillo</t>
        </is>
      </c>
      <c r="D233" s="17" t="inlineStr">
        <is>
          <t>SpeedX</t>
        </is>
      </c>
      <c r="E233" s="17" t="inlineStr">
        <is>
          <t>Console</t>
        </is>
      </c>
      <c r="F233" s="17" t="inlineStr">
        <is>
          <t>Central</t>
        </is>
      </c>
      <c r="G233" s="18" t="n">
        <v>45719</v>
      </c>
      <c r="H233" s="17" t="n">
        <v>25</v>
      </c>
      <c r="I233" s="17" t="n">
        <v>0</v>
      </c>
      <c r="J233" s="17" t="inlineStr">
        <is>
          <t>No Purchase</t>
        </is>
      </c>
      <c r="K233" s="17" t="inlineStr">
        <is>
          <t>Completed</t>
        </is>
      </c>
      <c r="L233" s="17" t="inlineStr">
        <is>
          <t>Free</t>
        </is>
      </c>
      <c r="M233" s="17" t="n">
        <v>34</v>
      </c>
      <c r="N233" s="17" t="inlineStr">
        <is>
          <t>No</t>
        </is>
      </c>
      <c r="O233" s="17">
        <f>TEXT(G233,"yyyy-mm")</f>
        <v/>
      </c>
      <c r="P233" s="17">
        <f>IF(H233&lt;20,"Low",IF(H233&lt;=60,"Medium","High"))</f>
        <v/>
      </c>
      <c r="Q233" s="17">
        <f>IF(I233&gt;0,"Yes","No")</f>
        <v/>
      </c>
      <c r="R233" s="17">
        <f>IF(N233="Yes",1,0)</f>
        <v/>
      </c>
      <c r="S233" s="17">
        <f>IF(N233=IF(OR(H233&gt;150,I233&gt;40),"Yes","No"),"Match","Mismatch")</f>
        <v/>
      </c>
    </row>
    <row r="234">
      <c r="A234" s="17" t="inlineStr">
        <is>
          <t>S00220</t>
        </is>
      </c>
      <c r="B234" s="17" t="inlineStr">
        <is>
          <t>P7757</t>
        </is>
      </c>
      <c r="C234" s="17" t="inlineStr">
        <is>
          <t>tonyachristensen</t>
        </is>
      </c>
      <c r="D234" s="17" t="inlineStr">
        <is>
          <t>Empire Wars</t>
        </is>
      </c>
      <c r="E234" s="17" t="inlineStr">
        <is>
          <t>Console</t>
        </is>
      </c>
      <c r="F234" s="17" t="inlineStr">
        <is>
          <t>Central</t>
        </is>
      </c>
      <c r="G234" s="18" t="n">
        <v>45720</v>
      </c>
      <c r="H234" s="17" t="n">
        <v>154</v>
      </c>
      <c r="I234" s="17" t="n">
        <v>0</v>
      </c>
      <c r="J234" s="17" t="inlineStr">
        <is>
          <t>No Purchase</t>
        </is>
      </c>
      <c r="K234" s="17" t="inlineStr">
        <is>
          <t>Completed</t>
        </is>
      </c>
      <c r="L234" s="17" t="inlineStr">
        <is>
          <t>Free</t>
        </is>
      </c>
      <c r="M234" s="17" t="n">
        <v>26</v>
      </c>
      <c r="N234" s="17" t="inlineStr">
        <is>
          <t>Yes</t>
        </is>
      </c>
      <c r="O234" s="17">
        <f>TEXT(G234,"yyyy-mm")</f>
        <v/>
      </c>
      <c r="P234" s="17">
        <f>IF(H234&lt;20,"Low",IF(H234&lt;=60,"Medium","High"))</f>
        <v/>
      </c>
      <c r="Q234" s="17">
        <f>IF(I234&gt;0,"Yes","No")</f>
        <v/>
      </c>
      <c r="R234" s="17">
        <f>IF(N234="Yes",1,0)</f>
        <v/>
      </c>
      <c r="S234" s="17">
        <f>IF(N234=IF(OR(H234&gt;150,I234&gt;40),"Yes","No"),"Match","Mismatch")</f>
        <v/>
      </c>
    </row>
    <row r="235">
      <c r="A235" s="17" t="inlineStr">
        <is>
          <t>S00272</t>
        </is>
      </c>
      <c r="B235" s="17" t="inlineStr">
        <is>
          <t>P4911</t>
        </is>
      </c>
      <c r="C235" s="17" t="inlineStr">
        <is>
          <t>mmorgan</t>
        </is>
      </c>
      <c r="D235" s="17" t="inlineStr">
        <is>
          <t>SpeedX</t>
        </is>
      </c>
      <c r="E235" s="17" t="inlineStr">
        <is>
          <t>PC</t>
        </is>
      </c>
      <c r="F235" s="17" t="inlineStr">
        <is>
          <t>North</t>
        </is>
      </c>
      <c r="G235" s="18" t="n">
        <v>45721</v>
      </c>
      <c r="H235" s="17" t="n">
        <v>91</v>
      </c>
      <c r="I235" s="17" t="n">
        <v>45.51</v>
      </c>
      <c r="J235" s="17" t="inlineStr">
        <is>
          <t>Skins</t>
        </is>
      </c>
      <c r="K235" s="17" t="inlineStr">
        <is>
          <t>Completed</t>
        </is>
      </c>
      <c r="L235" s="17" t="inlineStr">
        <is>
          <t>Paid</t>
        </is>
      </c>
      <c r="M235" s="17" t="n">
        <v>8</v>
      </c>
      <c r="N235" s="17" t="inlineStr">
        <is>
          <t>Yes</t>
        </is>
      </c>
      <c r="O235" s="17">
        <f>TEXT(G235,"yyyy-mm")</f>
        <v/>
      </c>
      <c r="P235" s="17">
        <f>IF(H235&lt;20,"Low",IF(H235&lt;=60,"Medium","High"))</f>
        <v/>
      </c>
      <c r="Q235" s="17">
        <f>IF(I235&gt;0,"Yes","No")</f>
        <v/>
      </c>
      <c r="R235" s="17">
        <f>IF(N235="Yes",1,0)</f>
        <v/>
      </c>
      <c r="S235" s="17">
        <f>IF(N235=IF(OR(H235&gt;150,I235&gt;40),"Yes","No"),"Match","Mismatch")</f>
        <v/>
      </c>
    </row>
    <row r="236">
      <c r="A236" s="17" t="inlineStr">
        <is>
          <t>S00260</t>
        </is>
      </c>
      <c r="B236" s="17" t="inlineStr">
        <is>
          <t>P2956</t>
        </is>
      </c>
      <c r="C236" s="17" t="inlineStr">
        <is>
          <t>rsuarez</t>
        </is>
      </c>
      <c r="D236" s="17" t="inlineStr">
        <is>
          <t>Zombie Rush</t>
        </is>
      </c>
      <c r="E236" s="17" t="inlineStr">
        <is>
          <t>Console</t>
        </is>
      </c>
      <c r="F236" s="17" t="inlineStr">
        <is>
          <t>Central</t>
        </is>
      </c>
      <c r="G236" s="18" t="n">
        <v>45721</v>
      </c>
      <c r="H236" s="17" t="n">
        <v>26</v>
      </c>
      <c r="I236" s="17" t="n">
        <v>0</v>
      </c>
      <c r="J236" s="17" t="inlineStr">
        <is>
          <t>No Purchase</t>
        </is>
      </c>
      <c r="K236" s="17" t="inlineStr">
        <is>
          <t>Completed</t>
        </is>
      </c>
      <c r="L236" s="17" t="inlineStr">
        <is>
          <t>Paid</t>
        </is>
      </c>
      <c r="M236" s="17" t="n">
        <v>5</v>
      </c>
      <c r="N236" s="17" t="inlineStr">
        <is>
          <t>No</t>
        </is>
      </c>
      <c r="O236" s="17">
        <f>TEXT(G236,"yyyy-mm")</f>
        <v/>
      </c>
      <c r="P236" s="17">
        <f>IF(H236&lt;20,"Low",IF(H236&lt;=60,"Medium","High"))</f>
        <v/>
      </c>
      <c r="Q236" s="17">
        <f>IF(I236&gt;0,"Yes","No")</f>
        <v/>
      </c>
      <c r="R236" s="17">
        <f>IF(N236="Yes",1,0)</f>
        <v/>
      </c>
      <c r="S236" s="17">
        <f>IF(N236=IF(OR(H236&gt;150,I236&gt;40),"Yes","No"),"Match","Mismatch")</f>
        <v/>
      </c>
    </row>
    <row r="237">
      <c r="A237" s="17" t="inlineStr">
        <is>
          <t>S00037</t>
        </is>
      </c>
      <c r="B237" s="17" t="inlineStr">
        <is>
          <t>P2861</t>
        </is>
      </c>
      <c r="C237" s="17" t="inlineStr">
        <is>
          <t>leahlee</t>
        </is>
      </c>
      <c r="D237" s="17" t="inlineStr">
        <is>
          <t>Clash of Realms</t>
        </is>
      </c>
      <c r="E237" s="17" t="inlineStr">
        <is>
          <t>PC</t>
        </is>
      </c>
      <c r="F237" s="17" t="inlineStr">
        <is>
          <t>North</t>
        </is>
      </c>
      <c r="G237" s="18" t="n">
        <v>45721</v>
      </c>
      <c r="H237" s="17" t="n">
        <v>149</v>
      </c>
      <c r="I237" s="17" t="n">
        <v>0</v>
      </c>
      <c r="J237" s="17" t="inlineStr">
        <is>
          <t>No Purchase</t>
        </is>
      </c>
      <c r="K237" s="17" t="inlineStr">
        <is>
          <t>Completed</t>
        </is>
      </c>
      <c r="L237" s="17" t="inlineStr">
        <is>
          <t>Free</t>
        </is>
      </c>
      <c r="M237" s="17" t="n">
        <v>48</v>
      </c>
      <c r="N237" s="17" t="inlineStr">
        <is>
          <t>No</t>
        </is>
      </c>
      <c r="O237" s="17">
        <f>TEXT(G237,"yyyy-mm")</f>
        <v/>
      </c>
      <c r="P237" s="17">
        <f>IF(H237&lt;20,"Low",IF(H237&lt;=60,"Medium","High"))</f>
        <v/>
      </c>
      <c r="Q237" s="17">
        <f>IF(I237&gt;0,"Yes","No")</f>
        <v/>
      </c>
      <c r="R237" s="17">
        <f>IF(N237="Yes",1,0)</f>
        <v/>
      </c>
      <c r="S237" s="17">
        <f>IF(N237=IF(OR(H237&gt;150,I237&gt;40),"Yes","No"),"Match","Mismatch")</f>
        <v/>
      </c>
    </row>
    <row r="238">
      <c r="A238" s="17" t="inlineStr">
        <is>
          <t>S00154</t>
        </is>
      </c>
      <c r="B238" s="17" t="inlineStr">
        <is>
          <t>P8055</t>
        </is>
      </c>
      <c r="C238" s="17" t="inlineStr">
        <is>
          <t>davidsingleton</t>
        </is>
      </c>
      <c r="D238" s="17" t="inlineStr">
        <is>
          <t>BattleZone</t>
        </is>
      </c>
      <c r="E238" s="17" t="inlineStr">
        <is>
          <t>Mobile</t>
        </is>
      </c>
      <c r="F238" s="17" t="inlineStr">
        <is>
          <t>West</t>
        </is>
      </c>
      <c r="G238" s="18" t="n">
        <v>45721</v>
      </c>
      <c r="H238" s="17" t="n">
        <v>118</v>
      </c>
      <c r="I238" s="17" t="n">
        <v>46.55</v>
      </c>
      <c r="J238" s="17" t="inlineStr">
        <is>
          <t>Battle Pass</t>
        </is>
      </c>
      <c r="K238" s="17" t="inlineStr">
        <is>
          <t>Completed</t>
        </is>
      </c>
      <c r="L238" s="17" t="inlineStr">
        <is>
          <t>Paid</t>
        </is>
      </c>
      <c r="M238" s="17" t="n">
        <v>45</v>
      </c>
      <c r="N238" s="17" t="inlineStr">
        <is>
          <t>Yes</t>
        </is>
      </c>
      <c r="O238" s="17">
        <f>TEXT(G238,"yyyy-mm")</f>
        <v/>
      </c>
      <c r="P238" s="17">
        <f>IF(H238&lt;20,"Low",IF(H238&lt;=60,"Medium","High"))</f>
        <v/>
      </c>
      <c r="Q238" s="17">
        <f>IF(I238&gt;0,"Yes","No")</f>
        <v/>
      </c>
      <c r="R238" s="17">
        <f>IF(N238="Yes",1,0)</f>
        <v/>
      </c>
      <c r="S238" s="17">
        <f>IF(N238=IF(OR(H238&gt;150,I238&gt;40),"Yes","No"),"Match","Mismatch")</f>
        <v/>
      </c>
    </row>
    <row r="239">
      <c r="A239" s="17" t="inlineStr">
        <is>
          <t>S00370</t>
        </is>
      </c>
      <c r="B239" s="17" t="inlineStr">
        <is>
          <t>P1693</t>
        </is>
      </c>
      <c r="C239" s="17" t="inlineStr">
        <is>
          <t>huntlawrence</t>
        </is>
      </c>
      <c r="D239" s="17" t="inlineStr">
        <is>
          <t>Clash of Realms</t>
        </is>
      </c>
      <c r="E239" s="17" t="inlineStr">
        <is>
          <t>Mobile</t>
        </is>
      </c>
      <c r="F239" s="17" t="inlineStr">
        <is>
          <t>North-East</t>
        </is>
      </c>
      <c r="G239" s="18" t="n">
        <v>45722</v>
      </c>
      <c r="H239" s="17" t="n">
        <v>144</v>
      </c>
      <c r="I239" s="17" t="n">
        <v>0</v>
      </c>
      <c r="J239" s="17" t="inlineStr">
        <is>
          <t>No Purchase</t>
        </is>
      </c>
      <c r="K239" s="17" t="inlineStr">
        <is>
          <t>Exited Early</t>
        </is>
      </c>
      <c r="L239" s="17" t="inlineStr">
        <is>
          <t>Free</t>
        </is>
      </c>
      <c r="M239" s="17" t="n">
        <v>9</v>
      </c>
      <c r="N239" s="17" t="inlineStr">
        <is>
          <t>No</t>
        </is>
      </c>
      <c r="O239" s="17">
        <f>TEXT(G239,"yyyy-mm")</f>
        <v/>
      </c>
      <c r="P239" s="17">
        <f>IF(H239&lt;20,"Low",IF(H239&lt;=60,"Medium","High"))</f>
        <v/>
      </c>
      <c r="Q239" s="17">
        <f>IF(I239&gt;0,"Yes","No")</f>
        <v/>
      </c>
      <c r="R239" s="17">
        <f>IF(N239="Yes",1,0)</f>
        <v/>
      </c>
      <c r="S239" s="17">
        <f>IF(N239=IF(OR(H239&gt;150,I239&gt;40),"Yes","No"),"Match","Mismatch")</f>
        <v/>
      </c>
    </row>
    <row r="240">
      <c r="A240" s="17" t="inlineStr">
        <is>
          <t>S00425</t>
        </is>
      </c>
      <c r="B240" s="17" t="inlineStr">
        <is>
          <t>P6749</t>
        </is>
      </c>
      <c r="C240" s="17" t="inlineStr">
        <is>
          <t>pmoore</t>
        </is>
      </c>
      <c r="D240" s="17" t="inlineStr">
        <is>
          <t>BattleZone</t>
        </is>
      </c>
      <c r="E240" s="17" t="inlineStr">
        <is>
          <t>Console</t>
        </is>
      </c>
      <c r="F240" s="17" t="inlineStr">
        <is>
          <t>East</t>
        </is>
      </c>
      <c r="G240" s="18" t="n">
        <v>45722</v>
      </c>
      <c r="H240" s="17" t="n">
        <v>7</v>
      </c>
      <c r="I240" s="17" t="n">
        <v>29.06</v>
      </c>
      <c r="J240" s="17" t="inlineStr">
        <is>
          <t>Battle Pass</t>
        </is>
      </c>
      <c r="K240" s="17" t="inlineStr">
        <is>
          <t>Completed</t>
        </is>
      </c>
      <c r="L240" s="17" t="inlineStr">
        <is>
          <t>Paid</t>
        </is>
      </c>
      <c r="M240" s="17" t="n">
        <v>12</v>
      </c>
      <c r="N240" s="17" t="inlineStr">
        <is>
          <t>No</t>
        </is>
      </c>
      <c r="O240" s="17">
        <f>TEXT(G240,"yyyy-mm")</f>
        <v/>
      </c>
      <c r="P240" s="17">
        <f>IF(H240&lt;20,"Low",IF(H240&lt;=60,"Medium","High"))</f>
        <v/>
      </c>
      <c r="Q240" s="17">
        <f>IF(I240&gt;0,"Yes","No")</f>
        <v/>
      </c>
      <c r="R240" s="17">
        <f>IF(N240="Yes",1,0)</f>
        <v/>
      </c>
      <c r="S240" s="17">
        <f>IF(N240=IF(OR(H240&gt;150,I240&gt;40),"Yes","No"),"Match","Mismatch")</f>
        <v/>
      </c>
    </row>
    <row r="241">
      <c r="A241" s="17" t="inlineStr">
        <is>
          <t>S00460</t>
        </is>
      </c>
      <c r="B241" s="17" t="inlineStr">
        <is>
          <t>P6581</t>
        </is>
      </c>
      <c r="C241" s="17" t="inlineStr">
        <is>
          <t>ramirezandrea</t>
        </is>
      </c>
      <c r="D241" s="17" t="inlineStr">
        <is>
          <t>SpeedX</t>
        </is>
      </c>
      <c r="E241" s="17" t="inlineStr">
        <is>
          <t>Mobile</t>
        </is>
      </c>
      <c r="F241" s="17" t="inlineStr">
        <is>
          <t>West</t>
        </is>
      </c>
      <c r="G241" s="18" t="n">
        <v>45722</v>
      </c>
      <c r="H241" s="17" t="n">
        <v>17</v>
      </c>
      <c r="I241" s="17" t="n">
        <v>0</v>
      </c>
      <c r="J241" s="17" t="inlineStr">
        <is>
          <t>No Purchase</t>
        </is>
      </c>
      <c r="K241" s="17" t="inlineStr">
        <is>
          <t>Completed</t>
        </is>
      </c>
      <c r="L241" s="17" t="inlineStr">
        <is>
          <t>Free</t>
        </is>
      </c>
      <c r="M241" s="17" t="n">
        <v>1</v>
      </c>
      <c r="N241" s="17" t="inlineStr">
        <is>
          <t>No</t>
        </is>
      </c>
      <c r="O241" s="17">
        <f>TEXT(G241,"yyyy-mm")</f>
        <v/>
      </c>
      <c r="P241" s="17">
        <f>IF(H241&lt;20,"Low",IF(H241&lt;=60,"Medium","High"))</f>
        <v/>
      </c>
      <c r="Q241" s="17">
        <f>IF(I241&gt;0,"Yes","No")</f>
        <v/>
      </c>
      <c r="R241" s="17">
        <f>IF(N241="Yes",1,0)</f>
        <v/>
      </c>
      <c r="S241" s="17">
        <f>IF(N241=IF(OR(H241&gt;150,I241&gt;40),"Yes","No"),"Match","Mismatch")</f>
        <v/>
      </c>
    </row>
    <row r="242">
      <c r="A242" s="17" t="inlineStr">
        <is>
          <t>S00213</t>
        </is>
      </c>
      <c r="B242" s="17" t="inlineStr">
        <is>
          <t>P5442</t>
        </is>
      </c>
      <c r="C242" s="17" t="inlineStr">
        <is>
          <t>nicholas77</t>
        </is>
      </c>
      <c r="D242" s="17" t="inlineStr">
        <is>
          <t>SpeedX</t>
        </is>
      </c>
      <c r="E242" s="17" t="inlineStr">
        <is>
          <t>Mobile</t>
        </is>
      </c>
      <c r="F242" s="17" t="inlineStr">
        <is>
          <t>East</t>
        </is>
      </c>
      <c r="G242" s="18" t="n">
        <v>45722</v>
      </c>
      <c r="H242" s="17" t="n">
        <v>56</v>
      </c>
      <c r="I242" s="17" t="n">
        <v>15.9</v>
      </c>
      <c r="J242" s="17" t="inlineStr">
        <is>
          <t>Boosters</t>
        </is>
      </c>
      <c r="K242" s="17" t="inlineStr">
        <is>
          <t>Exited Early</t>
        </is>
      </c>
      <c r="L242" s="17" t="inlineStr">
        <is>
          <t>Paid</t>
        </is>
      </c>
      <c r="M242" s="17" t="n">
        <v>28</v>
      </c>
      <c r="N242" s="17" t="inlineStr">
        <is>
          <t>No</t>
        </is>
      </c>
      <c r="O242" s="17">
        <f>TEXT(G242,"yyyy-mm")</f>
        <v/>
      </c>
      <c r="P242" s="17">
        <f>IF(H242&lt;20,"Low",IF(H242&lt;=60,"Medium","High"))</f>
        <v/>
      </c>
      <c r="Q242" s="17">
        <f>IF(I242&gt;0,"Yes","No")</f>
        <v/>
      </c>
      <c r="R242" s="17">
        <f>IF(N242="Yes",1,0)</f>
        <v/>
      </c>
      <c r="S242" s="17">
        <f>IF(N242=IF(OR(H242&gt;150,I242&gt;40),"Yes","No"),"Match","Mismatch")</f>
        <v/>
      </c>
    </row>
    <row r="243">
      <c r="A243" s="17" t="inlineStr">
        <is>
          <t>S00337</t>
        </is>
      </c>
      <c r="B243" s="17" t="inlineStr">
        <is>
          <t>P2974</t>
        </is>
      </c>
      <c r="C243" s="17" t="inlineStr">
        <is>
          <t>maciasronald</t>
        </is>
      </c>
      <c r="D243" s="17" t="inlineStr">
        <is>
          <t>Zombie Rush</t>
        </is>
      </c>
      <c r="E243" s="17" t="inlineStr">
        <is>
          <t>Console</t>
        </is>
      </c>
      <c r="F243" s="17" t="inlineStr">
        <is>
          <t>East</t>
        </is>
      </c>
      <c r="G243" s="18" t="n">
        <v>45723</v>
      </c>
      <c r="H243" s="17" t="n">
        <v>13</v>
      </c>
      <c r="I243" s="17" t="n">
        <v>0</v>
      </c>
      <c r="J243" s="17" t="inlineStr">
        <is>
          <t>No Purchase</t>
        </is>
      </c>
      <c r="K243" s="17" t="inlineStr">
        <is>
          <t>Exited Early</t>
        </is>
      </c>
      <c r="L243" s="17" t="inlineStr">
        <is>
          <t>Free</t>
        </is>
      </c>
      <c r="M243" s="17" t="n">
        <v>49</v>
      </c>
      <c r="N243" s="17" t="inlineStr">
        <is>
          <t>No</t>
        </is>
      </c>
      <c r="O243" s="17">
        <f>TEXT(G243,"yyyy-mm")</f>
        <v/>
      </c>
      <c r="P243" s="17">
        <f>IF(H243&lt;20,"Low",IF(H243&lt;=60,"Medium","High"))</f>
        <v/>
      </c>
      <c r="Q243" s="17">
        <f>IF(I243&gt;0,"Yes","No")</f>
        <v/>
      </c>
      <c r="R243" s="17">
        <f>IF(N243="Yes",1,0)</f>
        <v/>
      </c>
      <c r="S243" s="17">
        <f>IF(N243=IF(OR(H243&gt;150,I243&gt;40),"Yes","No"),"Match","Mismatch")</f>
        <v/>
      </c>
    </row>
    <row r="244">
      <c r="A244" s="17" t="inlineStr">
        <is>
          <t>S00450</t>
        </is>
      </c>
      <c r="B244" s="17" t="inlineStr">
        <is>
          <t>P3198</t>
        </is>
      </c>
      <c r="C244" s="17" t="inlineStr">
        <is>
          <t>bherrera</t>
        </is>
      </c>
      <c r="D244" s="17" t="inlineStr">
        <is>
          <t>Zombie Rush</t>
        </is>
      </c>
      <c r="E244" s="17" t="inlineStr">
        <is>
          <t>Mobile</t>
        </is>
      </c>
      <c r="F244" s="17" t="inlineStr">
        <is>
          <t>East</t>
        </is>
      </c>
      <c r="G244" s="18" t="n">
        <v>45724</v>
      </c>
      <c r="H244" s="17" t="n">
        <v>63</v>
      </c>
      <c r="I244" s="17" t="n">
        <v>0</v>
      </c>
      <c r="J244" s="17" t="inlineStr">
        <is>
          <t>No Purchase</t>
        </is>
      </c>
      <c r="K244" s="17" t="inlineStr">
        <is>
          <t>Completed</t>
        </is>
      </c>
      <c r="L244" s="17" t="inlineStr">
        <is>
          <t>Free</t>
        </is>
      </c>
      <c r="M244" s="17" t="n">
        <v>25</v>
      </c>
      <c r="N244" s="17" t="inlineStr">
        <is>
          <t>No</t>
        </is>
      </c>
      <c r="O244" s="17">
        <f>TEXT(G244,"yyyy-mm")</f>
        <v/>
      </c>
      <c r="P244" s="17">
        <f>IF(H244&lt;20,"Low",IF(H244&lt;=60,"Medium","High"))</f>
        <v/>
      </c>
      <c r="Q244" s="17">
        <f>IF(I244&gt;0,"Yes","No")</f>
        <v/>
      </c>
      <c r="R244" s="17">
        <f>IF(N244="Yes",1,0)</f>
        <v/>
      </c>
      <c r="S244" s="17">
        <f>IF(N244=IF(OR(H244&gt;150,I244&gt;40),"Yes","No"),"Match","Mismatch")</f>
        <v/>
      </c>
    </row>
    <row r="245">
      <c r="A245" s="17" t="inlineStr">
        <is>
          <t>S00013</t>
        </is>
      </c>
      <c r="B245" s="17" t="inlineStr">
        <is>
          <t>P4776</t>
        </is>
      </c>
      <c r="C245" s="17" t="inlineStr">
        <is>
          <t>xjoseph</t>
        </is>
      </c>
      <c r="D245" s="17" t="inlineStr">
        <is>
          <t>SpeedX</t>
        </is>
      </c>
      <c r="E245" s="17" t="inlineStr">
        <is>
          <t>Mobile</t>
        </is>
      </c>
      <c r="F245" s="17" t="inlineStr">
        <is>
          <t>South</t>
        </is>
      </c>
      <c r="G245" s="18" t="n">
        <v>45724</v>
      </c>
      <c r="H245" s="17" t="n">
        <v>100</v>
      </c>
      <c r="I245" s="17" t="n">
        <v>0</v>
      </c>
      <c r="J245" s="17" t="inlineStr">
        <is>
          <t>No Purchase</t>
        </is>
      </c>
      <c r="K245" s="17" t="inlineStr">
        <is>
          <t>Completed</t>
        </is>
      </c>
      <c r="L245" s="17" t="inlineStr">
        <is>
          <t>Free</t>
        </is>
      </c>
      <c r="M245" s="17" t="n">
        <v>36</v>
      </c>
      <c r="N245" s="17" t="inlineStr">
        <is>
          <t>No</t>
        </is>
      </c>
      <c r="O245" s="17">
        <f>TEXT(G245,"yyyy-mm")</f>
        <v/>
      </c>
      <c r="P245" s="17">
        <f>IF(H245&lt;20,"Low",IF(H245&lt;=60,"Medium","High"))</f>
        <v/>
      </c>
      <c r="Q245" s="17">
        <f>IF(I245&gt;0,"Yes","No")</f>
        <v/>
      </c>
      <c r="R245" s="17">
        <f>IF(N245="Yes",1,0)</f>
        <v/>
      </c>
      <c r="S245" s="17">
        <f>IF(N245=IF(OR(H245&gt;150,I245&gt;40),"Yes","No"),"Match","Mismatch")</f>
        <v/>
      </c>
    </row>
    <row r="246">
      <c r="A246" s="17" t="inlineStr">
        <is>
          <t>S00168</t>
        </is>
      </c>
      <c r="B246" s="17" t="inlineStr">
        <is>
          <t>P6734</t>
        </is>
      </c>
      <c r="C246" s="17" t="inlineStr">
        <is>
          <t>whitemary</t>
        </is>
      </c>
      <c r="D246" s="17" t="inlineStr">
        <is>
          <t>SpeedX</t>
        </is>
      </c>
      <c r="E246" s="17" t="inlineStr">
        <is>
          <t>PC</t>
        </is>
      </c>
      <c r="F246" s="17" t="inlineStr">
        <is>
          <t>North-East</t>
        </is>
      </c>
      <c r="G246" s="18" t="n">
        <v>45725</v>
      </c>
      <c r="H246" s="17" t="n">
        <v>82</v>
      </c>
      <c r="I246" s="17" t="n">
        <v>0</v>
      </c>
      <c r="J246" s="17" t="inlineStr">
        <is>
          <t>No Purchase</t>
        </is>
      </c>
      <c r="K246" s="17" t="inlineStr">
        <is>
          <t>Exited Early</t>
        </is>
      </c>
      <c r="L246" s="17" t="inlineStr">
        <is>
          <t>Free</t>
        </is>
      </c>
      <c r="M246" s="17" t="n">
        <v>17</v>
      </c>
      <c r="N246" s="17" t="inlineStr">
        <is>
          <t>No</t>
        </is>
      </c>
      <c r="O246" s="17">
        <f>TEXT(G246,"yyyy-mm")</f>
        <v/>
      </c>
      <c r="P246" s="17">
        <f>IF(H246&lt;20,"Low",IF(H246&lt;=60,"Medium","High"))</f>
        <v/>
      </c>
      <c r="Q246" s="17">
        <f>IF(I246&gt;0,"Yes","No")</f>
        <v/>
      </c>
      <c r="R246" s="17">
        <f>IF(N246="Yes",1,0)</f>
        <v/>
      </c>
      <c r="S246" s="17">
        <f>IF(N246=IF(OR(H246&gt;150,I246&gt;40),"Yes","No"),"Match","Mismatch")</f>
        <v/>
      </c>
    </row>
    <row r="247">
      <c r="A247" s="17" t="inlineStr">
        <is>
          <t>S00485</t>
        </is>
      </c>
      <c r="B247" s="17" t="inlineStr">
        <is>
          <t>P3923</t>
        </is>
      </c>
      <c r="C247" s="17" t="inlineStr">
        <is>
          <t>evanskristen</t>
        </is>
      </c>
      <c r="D247" s="17" t="inlineStr">
        <is>
          <t>Clash of Realms</t>
        </is>
      </c>
      <c r="E247" s="17" t="inlineStr">
        <is>
          <t>Mobile</t>
        </is>
      </c>
      <c r="F247" s="17" t="inlineStr">
        <is>
          <t>East</t>
        </is>
      </c>
      <c r="G247" s="18" t="n">
        <v>45725</v>
      </c>
      <c r="H247" s="17" t="n">
        <v>64</v>
      </c>
      <c r="I247" s="17" t="n">
        <v>0</v>
      </c>
      <c r="J247" s="17" t="inlineStr">
        <is>
          <t>No Purchase</t>
        </is>
      </c>
      <c r="K247" s="17" t="inlineStr">
        <is>
          <t>Crashed</t>
        </is>
      </c>
      <c r="L247" s="17" t="inlineStr">
        <is>
          <t>Free</t>
        </is>
      </c>
      <c r="M247" s="17" t="n">
        <v>33</v>
      </c>
      <c r="N247" s="17" t="inlineStr">
        <is>
          <t>No</t>
        </is>
      </c>
      <c r="O247" s="17">
        <f>TEXT(G247,"yyyy-mm")</f>
        <v/>
      </c>
      <c r="P247" s="17">
        <f>IF(H247&lt;20,"Low",IF(H247&lt;=60,"Medium","High"))</f>
        <v/>
      </c>
      <c r="Q247" s="17">
        <f>IF(I247&gt;0,"Yes","No")</f>
        <v/>
      </c>
      <c r="R247" s="17">
        <f>IF(N247="Yes",1,0)</f>
        <v/>
      </c>
      <c r="S247" s="17">
        <f>IF(N247=IF(OR(H247&gt;150,I247&gt;40),"Yes","No"),"Match","Mismatch")</f>
        <v/>
      </c>
    </row>
    <row r="248">
      <c r="A248" s="17" t="inlineStr">
        <is>
          <t>S00465</t>
        </is>
      </c>
      <c r="B248" s="17" t="inlineStr">
        <is>
          <t>P1878</t>
        </is>
      </c>
      <c r="C248" s="17" t="inlineStr">
        <is>
          <t>steven19</t>
        </is>
      </c>
      <c r="D248" s="17" t="inlineStr">
        <is>
          <t>Empire Wars</t>
        </is>
      </c>
      <c r="E248" s="17" t="inlineStr">
        <is>
          <t>Mobile</t>
        </is>
      </c>
      <c r="F248" s="17" t="inlineStr">
        <is>
          <t>North-East</t>
        </is>
      </c>
      <c r="G248" s="18" t="n">
        <v>45725</v>
      </c>
      <c r="H248" s="17" t="n">
        <v>172</v>
      </c>
      <c r="I248" s="17" t="n">
        <v>0</v>
      </c>
      <c r="J248" s="17" t="inlineStr">
        <is>
          <t>No Purchase</t>
        </is>
      </c>
      <c r="K248" s="17" t="inlineStr">
        <is>
          <t>Completed</t>
        </is>
      </c>
      <c r="L248" s="17" t="inlineStr">
        <is>
          <t>Free</t>
        </is>
      </c>
      <c r="M248" s="17" t="n">
        <v>15</v>
      </c>
      <c r="N248" s="17" t="inlineStr">
        <is>
          <t>Yes</t>
        </is>
      </c>
      <c r="O248" s="17">
        <f>TEXT(G248,"yyyy-mm")</f>
        <v/>
      </c>
      <c r="P248" s="17">
        <f>IF(H248&lt;20,"Low",IF(H248&lt;=60,"Medium","High"))</f>
        <v/>
      </c>
      <c r="Q248" s="17">
        <f>IF(I248&gt;0,"Yes","No")</f>
        <v/>
      </c>
      <c r="R248" s="17">
        <f>IF(N248="Yes",1,0)</f>
        <v/>
      </c>
      <c r="S248" s="17">
        <f>IF(N248=IF(OR(H248&gt;150,I248&gt;40),"Yes","No"),"Match","Mismatch")</f>
        <v/>
      </c>
    </row>
    <row r="249">
      <c r="A249" s="17" t="inlineStr">
        <is>
          <t>S00120</t>
        </is>
      </c>
      <c r="B249" s="17" t="inlineStr">
        <is>
          <t>P1199</t>
        </is>
      </c>
      <c r="C249" s="17" t="inlineStr">
        <is>
          <t>garymeyers</t>
        </is>
      </c>
      <c r="D249" s="17" t="inlineStr">
        <is>
          <t>Clash of Realms</t>
        </is>
      </c>
      <c r="E249" s="17" t="inlineStr">
        <is>
          <t>PC</t>
        </is>
      </c>
      <c r="F249" s="17" t="inlineStr">
        <is>
          <t>North</t>
        </is>
      </c>
      <c r="G249" s="18" t="n">
        <v>45726</v>
      </c>
      <c r="H249" s="17" t="n">
        <v>45</v>
      </c>
      <c r="I249" s="17" t="n">
        <v>31.67</v>
      </c>
      <c r="J249" s="17" t="inlineStr">
        <is>
          <t>Subscriptions</t>
        </is>
      </c>
      <c r="K249" s="17" t="inlineStr">
        <is>
          <t>Completed</t>
        </is>
      </c>
      <c r="L249" s="17" t="inlineStr">
        <is>
          <t>Paid</t>
        </is>
      </c>
      <c r="M249" s="17" t="n">
        <v>45</v>
      </c>
      <c r="N249" s="17" t="inlineStr">
        <is>
          <t>No</t>
        </is>
      </c>
      <c r="O249" s="17">
        <f>TEXT(G249,"yyyy-mm")</f>
        <v/>
      </c>
      <c r="P249" s="17">
        <f>IF(H249&lt;20,"Low",IF(H249&lt;=60,"Medium","High"))</f>
        <v/>
      </c>
      <c r="Q249" s="17">
        <f>IF(I249&gt;0,"Yes","No")</f>
        <v/>
      </c>
      <c r="R249" s="17">
        <f>IF(N249="Yes",1,0)</f>
        <v/>
      </c>
      <c r="S249" s="17">
        <f>IF(N249=IF(OR(H249&gt;150,I249&gt;40),"Yes","No"),"Match","Mismatch")</f>
        <v/>
      </c>
    </row>
    <row r="250">
      <c r="A250" s="17" t="inlineStr">
        <is>
          <t>S00326</t>
        </is>
      </c>
      <c r="B250" s="17" t="inlineStr">
        <is>
          <t>P2231</t>
        </is>
      </c>
      <c r="C250" s="17" t="inlineStr">
        <is>
          <t>jeffreyjimenez</t>
        </is>
      </c>
      <c r="D250" s="17" t="inlineStr">
        <is>
          <t>Clash of Realms</t>
        </is>
      </c>
      <c r="E250" s="17" t="inlineStr">
        <is>
          <t>PC</t>
        </is>
      </c>
      <c r="F250" s="17" t="inlineStr">
        <is>
          <t>North</t>
        </is>
      </c>
      <c r="G250" s="18" t="n">
        <v>45727</v>
      </c>
      <c r="H250" s="17" t="n">
        <v>90</v>
      </c>
      <c r="I250" s="17" t="n">
        <v>0</v>
      </c>
      <c r="J250" s="17" t="inlineStr">
        <is>
          <t>No Purchase</t>
        </is>
      </c>
      <c r="K250" s="17" t="inlineStr">
        <is>
          <t>Completed</t>
        </is>
      </c>
      <c r="L250" s="17" t="inlineStr">
        <is>
          <t>Free</t>
        </is>
      </c>
      <c r="M250" s="17" t="n">
        <v>50</v>
      </c>
      <c r="N250" s="17" t="inlineStr">
        <is>
          <t>No</t>
        </is>
      </c>
      <c r="O250" s="17">
        <f>TEXT(G250,"yyyy-mm")</f>
        <v/>
      </c>
      <c r="P250" s="17">
        <f>IF(H250&lt;20,"Low",IF(H250&lt;=60,"Medium","High"))</f>
        <v/>
      </c>
      <c r="Q250" s="17">
        <f>IF(I250&gt;0,"Yes","No")</f>
        <v/>
      </c>
      <c r="R250" s="17">
        <f>IF(N250="Yes",1,0)</f>
        <v/>
      </c>
      <c r="S250" s="17">
        <f>IF(N250=IF(OR(H250&gt;150,I250&gt;40),"Yes","No"),"Match","Mismatch")</f>
        <v/>
      </c>
    </row>
    <row r="251">
      <c r="A251" s="17" t="inlineStr">
        <is>
          <t>S00282</t>
        </is>
      </c>
      <c r="B251" s="17" t="inlineStr">
        <is>
          <t>P7701</t>
        </is>
      </c>
      <c r="C251" s="17" t="inlineStr">
        <is>
          <t>carmenbutler</t>
        </is>
      </c>
      <c r="D251" s="17" t="inlineStr">
        <is>
          <t>SpeedX</t>
        </is>
      </c>
      <c r="E251" s="17" t="inlineStr">
        <is>
          <t>Mobile</t>
        </is>
      </c>
      <c r="F251" s="17" t="inlineStr">
        <is>
          <t>Central</t>
        </is>
      </c>
      <c r="G251" s="18" t="n">
        <v>45727</v>
      </c>
      <c r="H251" s="17" t="n">
        <v>160</v>
      </c>
      <c r="I251" s="17" t="n">
        <v>0</v>
      </c>
      <c r="J251" s="17" t="inlineStr">
        <is>
          <t>No Purchase</t>
        </is>
      </c>
      <c r="K251" s="17" t="inlineStr">
        <is>
          <t>Completed</t>
        </is>
      </c>
      <c r="L251" s="17" t="inlineStr">
        <is>
          <t>Free</t>
        </is>
      </c>
      <c r="M251" s="17" t="n">
        <v>1</v>
      </c>
      <c r="N251" s="17" t="inlineStr">
        <is>
          <t>Yes</t>
        </is>
      </c>
      <c r="O251" s="17">
        <f>TEXT(G251,"yyyy-mm")</f>
        <v/>
      </c>
      <c r="P251" s="17">
        <f>IF(H251&lt;20,"Low",IF(H251&lt;=60,"Medium","High"))</f>
        <v/>
      </c>
      <c r="Q251" s="17">
        <f>IF(I251&gt;0,"Yes","No")</f>
        <v/>
      </c>
      <c r="R251" s="17">
        <f>IF(N251="Yes",1,0)</f>
        <v/>
      </c>
      <c r="S251" s="17">
        <f>IF(N251=IF(OR(H251&gt;150,I251&gt;40),"Yes","No"),"Match","Mismatch")</f>
        <v/>
      </c>
    </row>
    <row r="252">
      <c r="A252" s="17" t="inlineStr">
        <is>
          <t>S00314</t>
        </is>
      </c>
      <c r="B252" s="17" t="inlineStr">
        <is>
          <t>P6556</t>
        </is>
      </c>
      <c r="C252" s="17" t="inlineStr">
        <is>
          <t>dennis63</t>
        </is>
      </c>
      <c r="D252" s="17" t="inlineStr">
        <is>
          <t>SpeedX</t>
        </is>
      </c>
      <c r="E252" s="17" t="inlineStr">
        <is>
          <t>Console</t>
        </is>
      </c>
      <c r="F252" s="17" t="inlineStr">
        <is>
          <t>South</t>
        </is>
      </c>
      <c r="G252" s="18" t="n">
        <v>45727</v>
      </c>
      <c r="H252" s="17" t="n">
        <v>158</v>
      </c>
      <c r="I252" s="17" t="n">
        <v>0</v>
      </c>
      <c r="J252" s="17" t="inlineStr">
        <is>
          <t>No Purchase</t>
        </is>
      </c>
      <c r="K252" s="17" t="inlineStr">
        <is>
          <t>Crashed</t>
        </is>
      </c>
      <c r="L252" s="17" t="inlineStr">
        <is>
          <t>Free</t>
        </is>
      </c>
      <c r="M252" s="17" t="n">
        <v>22</v>
      </c>
      <c r="N252" s="17" t="inlineStr">
        <is>
          <t>Yes</t>
        </is>
      </c>
      <c r="O252" s="17">
        <f>TEXT(G252,"yyyy-mm")</f>
        <v/>
      </c>
      <c r="P252" s="17">
        <f>IF(H252&lt;20,"Low",IF(H252&lt;=60,"Medium","High"))</f>
        <v/>
      </c>
      <c r="Q252" s="17">
        <f>IF(I252&gt;0,"Yes","No")</f>
        <v/>
      </c>
      <c r="R252" s="17">
        <f>IF(N252="Yes",1,0)</f>
        <v/>
      </c>
      <c r="S252" s="17">
        <f>IF(N252=IF(OR(H252&gt;150,I252&gt;40),"Yes","No"),"Match","Mismatch")</f>
        <v/>
      </c>
    </row>
    <row r="253">
      <c r="A253" s="17" t="inlineStr">
        <is>
          <t>S00054</t>
        </is>
      </c>
      <c r="B253" s="17" t="inlineStr">
        <is>
          <t>P5714</t>
        </is>
      </c>
      <c r="C253" s="17" t="inlineStr">
        <is>
          <t>fforbes</t>
        </is>
      </c>
      <c r="D253" s="17" t="inlineStr">
        <is>
          <t>BattleZone</t>
        </is>
      </c>
      <c r="E253" s="17" t="inlineStr">
        <is>
          <t>PC</t>
        </is>
      </c>
      <c r="F253" s="17" t="inlineStr">
        <is>
          <t>West</t>
        </is>
      </c>
      <c r="G253" s="18" t="n">
        <v>45727</v>
      </c>
      <c r="H253" s="17" t="n">
        <v>136</v>
      </c>
      <c r="I253" s="17" t="n">
        <v>0</v>
      </c>
      <c r="J253" s="17" t="inlineStr">
        <is>
          <t>No Purchase</t>
        </is>
      </c>
      <c r="K253" s="17" t="inlineStr">
        <is>
          <t>Completed</t>
        </is>
      </c>
      <c r="L253" s="17" t="inlineStr">
        <is>
          <t>Free</t>
        </is>
      </c>
      <c r="M253" s="17" t="n">
        <v>11</v>
      </c>
      <c r="N253" s="17" t="inlineStr">
        <is>
          <t>No</t>
        </is>
      </c>
      <c r="O253" s="17">
        <f>TEXT(G253,"yyyy-mm")</f>
        <v/>
      </c>
      <c r="P253" s="17">
        <f>IF(H253&lt;20,"Low",IF(H253&lt;=60,"Medium","High"))</f>
        <v/>
      </c>
      <c r="Q253" s="17">
        <f>IF(I253&gt;0,"Yes","No")</f>
        <v/>
      </c>
      <c r="R253" s="17">
        <f>IF(N253="Yes",1,0)</f>
        <v/>
      </c>
      <c r="S253" s="17">
        <f>IF(N253=IF(OR(H253&gt;150,I253&gt;40),"Yes","No"),"Match","Mismatch")</f>
        <v/>
      </c>
    </row>
    <row r="254">
      <c r="A254" s="17" t="inlineStr">
        <is>
          <t>S00150</t>
        </is>
      </c>
      <c r="B254" s="17" t="inlineStr">
        <is>
          <t>P2593</t>
        </is>
      </c>
      <c r="C254" s="17" t="inlineStr">
        <is>
          <t>erinjones</t>
        </is>
      </c>
      <c r="D254" s="17" t="inlineStr">
        <is>
          <t>BattleZone</t>
        </is>
      </c>
      <c r="E254" s="17" t="inlineStr">
        <is>
          <t>Console</t>
        </is>
      </c>
      <c r="F254" s="17" t="inlineStr">
        <is>
          <t>Central</t>
        </is>
      </c>
      <c r="G254" s="18" t="n">
        <v>45728</v>
      </c>
      <c r="H254" s="17" t="n">
        <v>54</v>
      </c>
      <c r="I254" s="17" t="n">
        <v>0</v>
      </c>
      <c r="J254" s="17" t="inlineStr">
        <is>
          <t>No Purchase</t>
        </is>
      </c>
      <c r="K254" s="17" t="inlineStr">
        <is>
          <t>Completed</t>
        </is>
      </c>
      <c r="L254" s="17" t="inlineStr">
        <is>
          <t>Free</t>
        </is>
      </c>
      <c r="M254" s="17" t="n">
        <v>5</v>
      </c>
      <c r="N254" s="17" t="inlineStr">
        <is>
          <t>No</t>
        </is>
      </c>
      <c r="O254" s="17">
        <f>TEXT(G254,"yyyy-mm")</f>
        <v/>
      </c>
      <c r="P254" s="17">
        <f>IF(H254&lt;20,"Low",IF(H254&lt;=60,"Medium","High"))</f>
        <v/>
      </c>
      <c r="Q254" s="17">
        <f>IF(I254&gt;0,"Yes","No")</f>
        <v/>
      </c>
      <c r="R254" s="17">
        <f>IF(N254="Yes",1,0)</f>
        <v/>
      </c>
      <c r="S254" s="17">
        <f>IF(N254=IF(OR(H254&gt;150,I254&gt;40),"Yes","No"),"Match","Mismatch")</f>
        <v/>
      </c>
    </row>
    <row r="255">
      <c r="A255" s="17" t="inlineStr">
        <is>
          <t>S00035</t>
        </is>
      </c>
      <c r="B255" s="17" t="inlineStr">
        <is>
          <t>P2965</t>
        </is>
      </c>
      <c r="C255" s="17" t="inlineStr">
        <is>
          <t>sonya77</t>
        </is>
      </c>
      <c r="D255" s="17" t="inlineStr">
        <is>
          <t>SpeedX</t>
        </is>
      </c>
      <c r="E255" s="17" t="inlineStr">
        <is>
          <t>PC</t>
        </is>
      </c>
      <c r="F255" s="17" t="inlineStr">
        <is>
          <t>South</t>
        </is>
      </c>
      <c r="G255" s="18" t="n">
        <v>45729</v>
      </c>
      <c r="H255" s="17" t="n">
        <v>140</v>
      </c>
      <c r="I255" s="17" t="n">
        <v>0</v>
      </c>
      <c r="J255" s="17" t="inlineStr">
        <is>
          <t>No Purchase</t>
        </is>
      </c>
      <c r="K255" s="17" t="inlineStr">
        <is>
          <t>Completed</t>
        </is>
      </c>
      <c r="L255" s="17" t="inlineStr">
        <is>
          <t>Free</t>
        </is>
      </c>
      <c r="M255" s="17" t="n">
        <v>26</v>
      </c>
      <c r="N255" s="17" t="inlineStr">
        <is>
          <t>No</t>
        </is>
      </c>
      <c r="O255" s="17">
        <f>TEXT(G255,"yyyy-mm")</f>
        <v/>
      </c>
      <c r="P255" s="17">
        <f>IF(H255&lt;20,"Low",IF(H255&lt;=60,"Medium","High"))</f>
        <v/>
      </c>
      <c r="Q255" s="17">
        <f>IF(I255&gt;0,"Yes","No")</f>
        <v/>
      </c>
      <c r="R255" s="17">
        <f>IF(N255="Yes",1,0)</f>
        <v/>
      </c>
      <c r="S255" s="17">
        <f>IF(N255=IF(OR(H255&gt;150,I255&gt;40),"Yes","No"),"Match","Mismatch")</f>
        <v/>
      </c>
    </row>
    <row r="256">
      <c r="A256" s="17" t="inlineStr">
        <is>
          <t>S00348</t>
        </is>
      </c>
      <c r="B256" s="17" t="inlineStr">
        <is>
          <t>P6418</t>
        </is>
      </c>
      <c r="C256" s="17" t="inlineStr">
        <is>
          <t>ericmoore</t>
        </is>
      </c>
      <c r="D256" s="17" t="inlineStr">
        <is>
          <t>Zombie Rush</t>
        </is>
      </c>
      <c r="E256" s="17" t="inlineStr">
        <is>
          <t>PC</t>
        </is>
      </c>
      <c r="F256" s="17" t="inlineStr">
        <is>
          <t>West</t>
        </is>
      </c>
      <c r="G256" s="18" t="n">
        <v>45730</v>
      </c>
      <c r="H256" s="17" t="n">
        <v>57</v>
      </c>
      <c r="I256" s="17" t="n">
        <v>0</v>
      </c>
      <c r="J256" s="17" t="inlineStr">
        <is>
          <t>No Purchase</t>
        </is>
      </c>
      <c r="K256" s="17" t="inlineStr">
        <is>
          <t>Completed</t>
        </is>
      </c>
      <c r="L256" s="17" t="inlineStr">
        <is>
          <t>Paid</t>
        </is>
      </c>
      <c r="M256" s="17" t="n">
        <v>29</v>
      </c>
      <c r="N256" s="17" t="inlineStr">
        <is>
          <t>No</t>
        </is>
      </c>
      <c r="O256" s="17">
        <f>TEXT(G256,"yyyy-mm")</f>
        <v/>
      </c>
      <c r="P256" s="17">
        <f>IF(H256&lt;20,"Low",IF(H256&lt;=60,"Medium","High"))</f>
        <v/>
      </c>
      <c r="Q256" s="17">
        <f>IF(I256&gt;0,"Yes","No")</f>
        <v/>
      </c>
      <c r="R256" s="17">
        <f>IF(N256="Yes",1,0)</f>
        <v/>
      </c>
      <c r="S256" s="17">
        <f>IF(N256=IF(OR(H256&gt;150,I256&gt;40),"Yes","No"),"Match","Mismatch")</f>
        <v/>
      </c>
    </row>
    <row r="257">
      <c r="A257" s="17" t="inlineStr">
        <is>
          <t>S00094</t>
        </is>
      </c>
      <c r="B257" s="17" t="inlineStr">
        <is>
          <t>P6677</t>
        </is>
      </c>
      <c r="C257" s="17" t="inlineStr">
        <is>
          <t>qwatson</t>
        </is>
      </c>
      <c r="D257" s="17" t="inlineStr">
        <is>
          <t>SpeedX</t>
        </is>
      </c>
      <c r="E257" s="17" t="inlineStr">
        <is>
          <t>Console</t>
        </is>
      </c>
      <c r="F257" s="17" t="inlineStr">
        <is>
          <t>North-East</t>
        </is>
      </c>
      <c r="G257" s="18" t="n">
        <v>45731</v>
      </c>
      <c r="H257" s="17" t="n">
        <v>143</v>
      </c>
      <c r="I257" s="17" t="n">
        <v>0</v>
      </c>
      <c r="J257" s="17" t="inlineStr">
        <is>
          <t>No Purchase</t>
        </is>
      </c>
      <c r="K257" s="17" t="inlineStr">
        <is>
          <t>Exited Early</t>
        </is>
      </c>
      <c r="L257" s="17" t="inlineStr">
        <is>
          <t>Free</t>
        </is>
      </c>
      <c r="M257" s="17" t="n">
        <v>10</v>
      </c>
      <c r="N257" s="17" t="inlineStr">
        <is>
          <t>No</t>
        </is>
      </c>
      <c r="O257" s="17">
        <f>TEXT(G257,"yyyy-mm")</f>
        <v/>
      </c>
      <c r="P257" s="17">
        <f>IF(H257&lt;20,"Low",IF(H257&lt;=60,"Medium","High"))</f>
        <v/>
      </c>
      <c r="Q257" s="17">
        <f>IF(I257&gt;0,"Yes","No")</f>
        <v/>
      </c>
      <c r="R257" s="17">
        <f>IF(N257="Yes",1,0)</f>
        <v/>
      </c>
      <c r="S257" s="17">
        <f>IF(N257=IF(OR(H257&gt;150,I257&gt;40),"Yes","No"),"Match","Mismatch")</f>
        <v/>
      </c>
    </row>
    <row r="258">
      <c r="A258" s="17" t="inlineStr">
        <is>
          <t>S00352</t>
        </is>
      </c>
      <c r="B258" s="17" t="inlineStr">
        <is>
          <t>P8561</t>
        </is>
      </c>
      <c r="C258" s="17" t="inlineStr">
        <is>
          <t>boonekristen</t>
        </is>
      </c>
      <c r="D258" s="17" t="inlineStr">
        <is>
          <t>Zombie Rush</t>
        </is>
      </c>
      <c r="E258" s="17" t="inlineStr">
        <is>
          <t>Mobile</t>
        </is>
      </c>
      <c r="F258" s="17" t="inlineStr">
        <is>
          <t>North-East</t>
        </is>
      </c>
      <c r="G258" s="18" t="n">
        <v>45731</v>
      </c>
      <c r="H258" s="17" t="n">
        <v>127</v>
      </c>
      <c r="I258" s="17" t="n">
        <v>0</v>
      </c>
      <c r="J258" s="17" t="inlineStr">
        <is>
          <t>No Purchase</t>
        </is>
      </c>
      <c r="K258" s="17" t="inlineStr">
        <is>
          <t>Completed</t>
        </is>
      </c>
      <c r="L258" s="17" t="inlineStr">
        <is>
          <t>Free</t>
        </is>
      </c>
      <c r="M258" s="17" t="n">
        <v>13</v>
      </c>
      <c r="N258" s="17" t="inlineStr">
        <is>
          <t>No</t>
        </is>
      </c>
      <c r="O258" s="17">
        <f>TEXT(G258,"yyyy-mm")</f>
        <v/>
      </c>
      <c r="P258" s="17">
        <f>IF(H258&lt;20,"Low",IF(H258&lt;=60,"Medium","High"))</f>
        <v/>
      </c>
      <c r="Q258" s="17">
        <f>IF(I258&gt;0,"Yes","No")</f>
        <v/>
      </c>
      <c r="R258" s="17">
        <f>IF(N258="Yes",1,0)</f>
        <v/>
      </c>
      <c r="S258" s="17">
        <f>IF(N258=IF(OR(H258&gt;150,I258&gt;40),"Yes","No"),"Match","Mismatch")</f>
        <v/>
      </c>
    </row>
    <row r="259">
      <c r="A259" s="17" t="inlineStr">
        <is>
          <t>S00336</t>
        </is>
      </c>
      <c r="B259" s="17" t="inlineStr">
        <is>
          <t>P4680</t>
        </is>
      </c>
      <c r="C259" s="17" t="inlineStr">
        <is>
          <t>jack69</t>
        </is>
      </c>
      <c r="D259" s="17" t="inlineStr">
        <is>
          <t>Empire Wars</t>
        </is>
      </c>
      <c r="E259" s="17" t="inlineStr">
        <is>
          <t>PC</t>
        </is>
      </c>
      <c r="F259" s="17" t="inlineStr">
        <is>
          <t>East</t>
        </is>
      </c>
      <c r="G259" s="18" t="n">
        <v>45732</v>
      </c>
      <c r="H259" s="17" t="n">
        <v>161</v>
      </c>
      <c r="I259" s="17" t="n">
        <v>45.73</v>
      </c>
      <c r="J259" s="17" t="inlineStr">
        <is>
          <t>Boosters</t>
        </is>
      </c>
      <c r="K259" s="17" t="inlineStr">
        <is>
          <t>Completed</t>
        </is>
      </c>
      <c r="L259" s="17" t="inlineStr">
        <is>
          <t>Paid</t>
        </is>
      </c>
      <c r="M259" s="17" t="n">
        <v>4</v>
      </c>
      <c r="N259" s="17" t="inlineStr">
        <is>
          <t>Yes</t>
        </is>
      </c>
      <c r="O259" s="17">
        <f>TEXT(G259,"yyyy-mm")</f>
        <v/>
      </c>
      <c r="P259" s="17">
        <f>IF(H259&lt;20,"Low",IF(H259&lt;=60,"Medium","High"))</f>
        <v/>
      </c>
      <c r="Q259" s="17">
        <f>IF(I259&gt;0,"Yes","No")</f>
        <v/>
      </c>
      <c r="R259" s="17">
        <f>IF(N259="Yes",1,0)</f>
        <v/>
      </c>
      <c r="S259" s="17">
        <f>IF(N259=IF(OR(H259&gt;150,I259&gt;40),"Yes","No"),"Match","Mismatch")</f>
        <v/>
      </c>
    </row>
    <row r="260">
      <c r="A260" s="17" t="inlineStr">
        <is>
          <t>S00379</t>
        </is>
      </c>
      <c r="B260" s="17" t="inlineStr">
        <is>
          <t>P1302</t>
        </is>
      </c>
      <c r="C260" s="17" t="inlineStr">
        <is>
          <t>tdavis</t>
        </is>
      </c>
      <c r="D260" s="17" t="inlineStr">
        <is>
          <t>Clash of Realms</t>
        </is>
      </c>
      <c r="E260" s="17" t="inlineStr">
        <is>
          <t>Mobile</t>
        </is>
      </c>
      <c r="F260" s="17" t="inlineStr">
        <is>
          <t>South</t>
        </is>
      </c>
      <c r="G260" s="18" t="n">
        <v>45733</v>
      </c>
      <c r="H260" s="17" t="n">
        <v>167</v>
      </c>
      <c r="I260" s="17" t="n">
        <v>0</v>
      </c>
      <c r="J260" s="17" t="inlineStr">
        <is>
          <t>No Purchase</t>
        </is>
      </c>
      <c r="K260" s="17" t="inlineStr">
        <is>
          <t>Exited Early</t>
        </is>
      </c>
      <c r="L260" s="17" t="inlineStr">
        <is>
          <t>Paid</t>
        </is>
      </c>
      <c r="M260" s="17" t="n">
        <v>28</v>
      </c>
      <c r="N260" s="17" t="inlineStr">
        <is>
          <t>Yes</t>
        </is>
      </c>
      <c r="O260" s="17">
        <f>TEXT(G260,"yyyy-mm")</f>
        <v/>
      </c>
      <c r="P260" s="17">
        <f>IF(H260&lt;20,"Low",IF(H260&lt;=60,"Medium","High"))</f>
        <v/>
      </c>
      <c r="Q260" s="17">
        <f>IF(I260&gt;0,"Yes","No")</f>
        <v/>
      </c>
      <c r="R260" s="17">
        <f>IF(N260="Yes",1,0)</f>
        <v/>
      </c>
      <c r="S260" s="17">
        <f>IF(N260=IF(OR(H260&gt;150,I260&gt;40),"Yes","No"),"Match","Mismatch")</f>
        <v/>
      </c>
    </row>
    <row r="261">
      <c r="A261" s="17" t="inlineStr">
        <is>
          <t>S00332</t>
        </is>
      </c>
      <c r="B261" s="17" t="inlineStr">
        <is>
          <t>P4764</t>
        </is>
      </c>
      <c r="C261" s="17" t="inlineStr">
        <is>
          <t>johnsonjulie</t>
        </is>
      </c>
      <c r="D261" s="17" t="inlineStr">
        <is>
          <t>SpeedX</t>
        </is>
      </c>
      <c r="E261" s="17" t="inlineStr">
        <is>
          <t>Console</t>
        </is>
      </c>
      <c r="F261" s="17" t="inlineStr">
        <is>
          <t>East</t>
        </is>
      </c>
      <c r="G261" s="18" t="n">
        <v>45734</v>
      </c>
      <c r="H261" s="17" t="n">
        <v>180</v>
      </c>
      <c r="I261" s="17" t="n">
        <v>0</v>
      </c>
      <c r="J261" s="17" t="inlineStr">
        <is>
          <t>No Purchase</t>
        </is>
      </c>
      <c r="K261" s="17" t="inlineStr">
        <is>
          <t>Completed</t>
        </is>
      </c>
      <c r="L261" s="17" t="inlineStr">
        <is>
          <t>Free</t>
        </is>
      </c>
      <c r="M261" s="17" t="n">
        <v>18</v>
      </c>
      <c r="N261" s="17" t="inlineStr">
        <is>
          <t>Yes</t>
        </is>
      </c>
      <c r="O261" s="17">
        <f>TEXT(G261,"yyyy-mm")</f>
        <v/>
      </c>
      <c r="P261" s="17">
        <f>IF(H261&lt;20,"Low",IF(H261&lt;=60,"Medium","High"))</f>
        <v/>
      </c>
      <c r="Q261" s="17">
        <f>IF(I261&gt;0,"Yes","No")</f>
        <v/>
      </c>
      <c r="R261" s="17">
        <f>IF(N261="Yes",1,0)</f>
        <v/>
      </c>
      <c r="S261" s="17">
        <f>IF(N261=IF(OR(H261&gt;150,I261&gt;40),"Yes","No"),"Match","Mismatch")</f>
        <v/>
      </c>
    </row>
    <row r="262">
      <c r="A262" s="17" t="inlineStr">
        <is>
          <t>S00277</t>
        </is>
      </c>
      <c r="B262" s="17" t="inlineStr">
        <is>
          <t>P8649</t>
        </is>
      </c>
      <c r="C262" s="17" t="inlineStr">
        <is>
          <t>melanie33</t>
        </is>
      </c>
      <c r="D262" s="17" t="inlineStr">
        <is>
          <t>Zombie Rush</t>
        </is>
      </c>
      <c r="E262" s="17" t="inlineStr">
        <is>
          <t>Mobile</t>
        </is>
      </c>
      <c r="F262" s="17" t="inlineStr">
        <is>
          <t>North</t>
        </is>
      </c>
      <c r="G262" s="18" t="n">
        <v>45735</v>
      </c>
      <c r="H262" s="17" t="n">
        <v>63</v>
      </c>
      <c r="I262" s="17" t="n">
        <v>0</v>
      </c>
      <c r="J262" s="17" t="inlineStr">
        <is>
          <t>No Purchase</t>
        </is>
      </c>
      <c r="K262" s="17" t="inlineStr">
        <is>
          <t>Completed</t>
        </is>
      </c>
      <c r="L262" s="17" t="inlineStr">
        <is>
          <t>Free</t>
        </is>
      </c>
      <c r="M262" s="17" t="n">
        <v>49</v>
      </c>
      <c r="N262" s="17" t="inlineStr">
        <is>
          <t>No</t>
        </is>
      </c>
      <c r="O262" s="17">
        <f>TEXT(G262,"yyyy-mm")</f>
        <v/>
      </c>
      <c r="P262" s="17">
        <f>IF(H262&lt;20,"Low",IF(H262&lt;=60,"Medium","High"))</f>
        <v/>
      </c>
      <c r="Q262" s="17">
        <f>IF(I262&gt;0,"Yes","No")</f>
        <v/>
      </c>
      <c r="R262" s="17">
        <f>IF(N262="Yes",1,0)</f>
        <v/>
      </c>
      <c r="S262" s="17">
        <f>IF(N262=IF(OR(H262&gt;150,I262&gt;40),"Yes","No"),"Match","Mismatch")</f>
        <v/>
      </c>
    </row>
    <row r="263">
      <c r="A263" s="17" t="inlineStr">
        <is>
          <t>S00456</t>
        </is>
      </c>
      <c r="B263" s="17" t="inlineStr">
        <is>
          <t>P8176</t>
        </is>
      </c>
      <c r="C263" s="17" t="inlineStr">
        <is>
          <t>tgill</t>
        </is>
      </c>
      <c r="D263" s="17" t="inlineStr">
        <is>
          <t>BattleZone</t>
        </is>
      </c>
      <c r="E263" s="17" t="inlineStr">
        <is>
          <t>Console</t>
        </is>
      </c>
      <c r="F263" s="17" t="inlineStr">
        <is>
          <t>South</t>
        </is>
      </c>
      <c r="G263" s="18" t="n">
        <v>45735</v>
      </c>
      <c r="H263" s="17" t="n">
        <v>132</v>
      </c>
      <c r="I263" s="17" t="n">
        <v>28.89</v>
      </c>
      <c r="J263" s="17" t="inlineStr">
        <is>
          <t>Battle Pass</t>
        </is>
      </c>
      <c r="K263" s="17" t="inlineStr">
        <is>
          <t>Completed</t>
        </is>
      </c>
      <c r="L263" s="17" t="inlineStr">
        <is>
          <t>Paid</t>
        </is>
      </c>
      <c r="M263" s="17" t="n">
        <v>26</v>
      </c>
      <c r="N263" s="17" t="inlineStr">
        <is>
          <t>No</t>
        </is>
      </c>
      <c r="O263" s="17">
        <f>TEXT(G263,"yyyy-mm")</f>
        <v/>
      </c>
      <c r="P263" s="17">
        <f>IF(H263&lt;20,"Low",IF(H263&lt;=60,"Medium","High"))</f>
        <v/>
      </c>
      <c r="Q263" s="17">
        <f>IF(I263&gt;0,"Yes","No")</f>
        <v/>
      </c>
      <c r="R263" s="17">
        <f>IF(N263="Yes",1,0)</f>
        <v/>
      </c>
      <c r="S263" s="17">
        <f>IF(N263=IF(OR(H263&gt;150,I263&gt;40),"Yes","No"),"Match","Mismatch")</f>
        <v/>
      </c>
    </row>
    <row r="264">
      <c r="A264" s="17" t="inlineStr">
        <is>
          <t>S00329</t>
        </is>
      </c>
      <c r="B264" s="17" t="inlineStr">
        <is>
          <t>P3169</t>
        </is>
      </c>
      <c r="C264" s="17" t="inlineStr">
        <is>
          <t>ethankaufman</t>
        </is>
      </c>
      <c r="D264" s="17" t="inlineStr">
        <is>
          <t>BattleZone</t>
        </is>
      </c>
      <c r="E264" s="17" t="inlineStr">
        <is>
          <t>Mobile</t>
        </is>
      </c>
      <c r="F264" s="17" t="inlineStr">
        <is>
          <t>North</t>
        </is>
      </c>
      <c r="G264" s="18" t="n">
        <v>45737</v>
      </c>
      <c r="H264" s="17" t="n">
        <v>47</v>
      </c>
      <c r="I264" s="17" t="n">
        <v>0</v>
      </c>
      <c r="J264" s="17" t="inlineStr">
        <is>
          <t>No Purchase</t>
        </is>
      </c>
      <c r="K264" s="17" t="inlineStr">
        <is>
          <t>Completed</t>
        </is>
      </c>
      <c r="L264" s="17" t="inlineStr">
        <is>
          <t>Paid</t>
        </is>
      </c>
      <c r="M264" s="17" t="n">
        <v>49</v>
      </c>
      <c r="N264" s="17" t="inlineStr">
        <is>
          <t>No</t>
        </is>
      </c>
      <c r="O264" s="17">
        <f>TEXT(G264,"yyyy-mm")</f>
        <v/>
      </c>
      <c r="P264" s="17">
        <f>IF(H264&lt;20,"Low",IF(H264&lt;=60,"Medium","High"))</f>
        <v/>
      </c>
      <c r="Q264" s="17">
        <f>IF(I264&gt;0,"Yes","No")</f>
        <v/>
      </c>
      <c r="R264" s="17">
        <f>IF(N264="Yes",1,0)</f>
        <v/>
      </c>
      <c r="S264" s="17">
        <f>IF(N264=IF(OR(H264&gt;150,I264&gt;40),"Yes","No"),"Match","Mismatch")</f>
        <v/>
      </c>
    </row>
    <row r="265">
      <c r="A265" s="17" t="inlineStr">
        <is>
          <t>S00381</t>
        </is>
      </c>
      <c r="B265" s="17" t="inlineStr">
        <is>
          <t>P3795</t>
        </is>
      </c>
      <c r="C265" s="17" t="inlineStr">
        <is>
          <t>shelbyvalencia</t>
        </is>
      </c>
      <c r="D265" s="17" t="inlineStr">
        <is>
          <t>SpeedX</t>
        </is>
      </c>
      <c r="E265" s="17" t="inlineStr">
        <is>
          <t>Mobile</t>
        </is>
      </c>
      <c r="F265" s="17" t="inlineStr">
        <is>
          <t>Central</t>
        </is>
      </c>
      <c r="G265" s="18" t="n">
        <v>45737</v>
      </c>
      <c r="H265" s="17" t="n">
        <v>54</v>
      </c>
      <c r="I265" s="17" t="n">
        <v>0</v>
      </c>
      <c r="J265" s="17" t="inlineStr">
        <is>
          <t>No Purchase</t>
        </is>
      </c>
      <c r="K265" s="17" t="inlineStr">
        <is>
          <t>Completed</t>
        </is>
      </c>
      <c r="L265" s="17" t="inlineStr">
        <is>
          <t>Free</t>
        </is>
      </c>
      <c r="M265" s="17" t="n">
        <v>25</v>
      </c>
      <c r="N265" s="17" t="inlineStr">
        <is>
          <t>No</t>
        </is>
      </c>
      <c r="O265" s="17">
        <f>TEXT(G265,"yyyy-mm")</f>
        <v/>
      </c>
      <c r="P265" s="17">
        <f>IF(H265&lt;20,"Low",IF(H265&lt;=60,"Medium","High"))</f>
        <v/>
      </c>
      <c r="Q265" s="17">
        <f>IF(I265&gt;0,"Yes","No")</f>
        <v/>
      </c>
      <c r="R265" s="17">
        <f>IF(N265="Yes",1,0)</f>
        <v/>
      </c>
      <c r="S265" s="17">
        <f>IF(N265=IF(OR(H265&gt;150,I265&gt;40),"Yes","No"),"Match","Mismatch")</f>
        <v/>
      </c>
    </row>
    <row r="266">
      <c r="A266" s="17" t="inlineStr">
        <is>
          <t>S00152</t>
        </is>
      </c>
      <c r="B266" s="17" t="inlineStr">
        <is>
          <t>P5906</t>
        </is>
      </c>
      <c r="C266" s="17" t="inlineStr">
        <is>
          <t>onoble</t>
        </is>
      </c>
      <c r="D266" s="17" t="inlineStr">
        <is>
          <t>Empire Wars</t>
        </is>
      </c>
      <c r="E266" s="17" t="inlineStr">
        <is>
          <t>Console</t>
        </is>
      </c>
      <c r="F266" s="17" t="inlineStr">
        <is>
          <t>West</t>
        </is>
      </c>
      <c r="G266" s="18" t="n">
        <v>45737</v>
      </c>
      <c r="H266" s="17" t="n">
        <v>8</v>
      </c>
      <c r="I266" s="17" t="n">
        <v>39.12</v>
      </c>
      <c r="J266" s="17" t="inlineStr">
        <is>
          <t>Boosters</t>
        </is>
      </c>
      <c r="K266" s="17" t="inlineStr">
        <is>
          <t>Completed</t>
        </is>
      </c>
      <c r="L266" s="17" t="inlineStr">
        <is>
          <t>Paid</t>
        </is>
      </c>
      <c r="M266" s="17" t="n">
        <v>48</v>
      </c>
      <c r="N266" s="17" t="inlineStr">
        <is>
          <t>No</t>
        </is>
      </c>
      <c r="O266" s="17">
        <f>TEXT(G266,"yyyy-mm")</f>
        <v/>
      </c>
      <c r="P266" s="17">
        <f>IF(H266&lt;20,"Low",IF(H266&lt;=60,"Medium","High"))</f>
        <v/>
      </c>
      <c r="Q266" s="17">
        <f>IF(I266&gt;0,"Yes","No")</f>
        <v/>
      </c>
      <c r="R266" s="17">
        <f>IF(N266="Yes",1,0)</f>
        <v/>
      </c>
      <c r="S266" s="17">
        <f>IF(N266=IF(OR(H266&gt;150,I266&gt;40),"Yes","No"),"Match","Mismatch")</f>
        <v/>
      </c>
    </row>
    <row r="267">
      <c r="A267" s="17" t="inlineStr">
        <is>
          <t>S00276</t>
        </is>
      </c>
      <c r="B267" s="17" t="inlineStr">
        <is>
          <t>P2232</t>
        </is>
      </c>
      <c r="C267" s="17" t="inlineStr">
        <is>
          <t>donovantrevor</t>
        </is>
      </c>
      <c r="D267" s="17" t="inlineStr">
        <is>
          <t>Zombie Rush</t>
        </is>
      </c>
      <c r="E267" s="17" t="inlineStr">
        <is>
          <t>PC</t>
        </is>
      </c>
      <c r="F267" s="17" t="inlineStr">
        <is>
          <t>North</t>
        </is>
      </c>
      <c r="G267" s="18" t="n">
        <v>45738</v>
      </c>
      <c r="H267" s="17" t="n">
        <v>71</v>
      </c>
      <c r="I267" s="17" t="n">
        <v>0</v>
      </c>
      <c r="J267" s="17" t="inlineStr">
        <is>
          <t>No Purchase</t>
        </is>
      </c>
      <c r="K267" s="17" t="inlineStr">
        <is>
          <t>Completed</t>
        </is>
      </c>
      <c r="L267" s="17" t="inlineStr">
        <is>
          <t>Free</t>
        </is>
      </c>
      <c r="M267" s="17" t="n">
        <v>38</v>
      </c>
      <c r="N267" s="17" t="inlineStr">
        <is>
          <t>No</t>
        </is>
      </c>
      <c r="O267" s="17">
        <f>TEXT(G267,"yyyy-mm")</f>
        <v/>
      </c>
      <c r="P267" s="17">
        <f>IF(H267&lt;20,"Low",IF(H267&lt;=60,"Medium","High"))</f>
        <v/>
      </c>
      <c r="Q267" s="17">
        <f>IF(I267&gt;0,"Yes","No")</f>
        <v/>
      </c>
      <c r="R267" s="17">
        <f>IF(N267="Yes",1,0)</f>
        <v/>
      </c>
      <c r="S267" s="17">
        <f>IF(N267=IF(OR(H267&gt;150,I267&gt;40),"Yes","No"),"Match","Mismatch")</f>
        <v/>
      </c>
    </row>
    <row r="268">
      <c r="A268" s="17" t="inlineStr">
        <is>
          <t>S00212</t>
        </is>
      </c>
      <c r="B268" s="17" t="inlineStr">
        <is>
          <t>P4216</t>
        </is>
      </c>
      <c r="C268" s="17" t="inlineStr">
        <is>
          <t>sheilawatkins</t>
        </is>
      </c>
      <c r="D268" s="17" t="inlineStr">
        <is>
          <t>BattleZone</t>
        </is>
      </c>
      <c r="E268" s="17" t="inlineStr">
        <is>
          <t>Console</t>
        </is>
      </c>
      <c r="F268" s="17" t="inlineStr">
        <is>
          <t>Central</t>
        </is>
      </c>
      <c r="G268" s="18" t="n">
        <v>45738</v>
      </c>
      <c r="H268" s="17" t="n">
        <v>141</v>
      </c>
      <c r="I268" s="17" t="n">
        <v>0</v>
      </c>
      <c r="J268" s="17" t="inlineStr">
        <is>
          <t>No Purchase</t>
        </is>
      </c>
      <c r="K268" s="17" t="inlineStr">
        <is>
          <t>Completed</t>
        </is>
      </c>
      <c r="L268" s="17" t="inlineStr">
        <is>
          <t>Free</t>
        </is>
      </c>
      <c r="M268" s="17" t="n">
        <v>17</v>
      </c>
      <c r="N268" s="17" t="inlineStr">
        <is>
          <t>No</t>
        </is>
      </c>
      <c r="O268" s="17">
        <f>TEXT(G268,"yyyy-mm")</f>
        <v/>
      </c>
      <c r="P268" s="17">
        <f>IF(H268&lt;20,"Low",IF(H268&lt;=60,"Medium","High"))</f>
        <v/>
      </c>
      <c r="Q268" s="17">
        <f>IF(I268&gt;0,"Yes","No")</f>
        <v/>
      </c>
      <c r="R268" s="17">
        <f>IF(N268="Yes",1,0)</f>
        <v/>
      </c>
      <c r="S268" s="17">
        <f>IF(N268=IF(OR(H268&gt;150,I268&gt;40),"Yes","No"),"Match","Mismatch")</f>
        <v/>
      </c>
    </row>
    <row r="269">
      <c r="A269" s="17" t="inlineStr">
        <is>
          <t>S00099</t>
        </is>
      </c>
      <c r="B269" s="17" t="inlineStr">
        <is>
          <t>P9800</t>
        </is>
      </c>
      <c r="C269" s="17" t="inlineStr">
        <is>
          <t>sroach</t>
        </is>
      </c>
      <c r="D269" s="17" t="inlineStr">
        <is>
          <t>Empire Wars</t>
        </is>
      </c>
      <c r="E269" s="17" t="inlineStr">
        <is>
          <t>Console</t>
        </is>
      </c>
      <c r="F269" s="17" t="inlineStr">
        <is>
          <t>East</t>
        </is>
      </c>
      <c r="G269" s="18" t="n">
        <v>45738</v>
      </c>
      <c r="H269" s="17" t="n">
        <v>173</v>
      </c>
      <c r="I269" s="17" t="n">
        <v>0</v>
      </c>
      <c r="J269" s="17" t="inlineStr">
        <is>
          <t>No Purchase</t>
        </is>
      </c>
      <c r="K269" s="17" t="inlineStr">
        <is>
          <t>Completed</t>
        </is>
      </c>
      <c r="L269" s="17" t="inlineStr">
        <is>
          <t>Free</t>
        </is>
      </c>
      <c r="M269" s="17" t="n">
        <v>37</v>
      </c>
      <c r="N269" s="17" t="inlineStr">
        <is>
          <t>Yes</t>
        </is>
      </c>
      <c r="O269" s="17">
        <f>TEXT(G269,"yyyy-mm")</f>
        <v/>
      </c>
      <c r="P269" s="17">
        <f>IF(H269&lt;20,"Low",IF(H269&lt;=60,"Medium","High"))</f>
        <v/>
      </c>
      <c r="Q269" s="17">
        <f>IF(I269&gt;0,"Yes","No")</f>
        <v/>
      </c>
      <c r="R269" s="17">
        <f>IF(N269="Yes",1,0)</f>
        <v/>
      </c>
      <c r="S269" s="17">
        <f>IF(N269=IF(OR(H269&gt;150,I269&gt;40),"Yes","No"),"Match","Mismatch")</f>
        <v/>
      </c>
    </row>
    <row r="270">
      <c r="A270" s="17" t="inlineStr">
        <is>
          <t>S00165</t>
        </is>
      </c>
      <c r="B270" s="17" t="inlineStr">
        <is>
          <t>P6225</t>
        </is>
      </c>
      <c r="C270" s="17" t="inlineStr">
        <is>
          <t>adam91</t>
        </is>
      </c>
      <c r="D270" s="17" t="inlineStr">
        <is>
          <t>BattleZone</t>
        </is>
      </c>
      <c r="E270" s="17" t="inlineStr">
        <is>
          <t>PC</t>
        </is>
      </c>
      <c r="F270" s="17" t="inlineStr">
        <is>
          <t>East</t>
        </is>
      </c>
      <c r="G270" s="18" t="n">
        <v>45738</v>
      </c>
      <c r="H270" s="17" t="n">
        <v>139</v>
      </c>
      <c r="I270" s="17" t="n">
        <v>0</v>
      </c>
      <c r="J270" s="17" t="inlineStr">
        <is>
          <t>No Purchase</t>
        </is>
      </c>
      <c r="K270" s="17" t="inlineStr">
        <is>
          <t>Completed</t>
        </is>
      </c>
      <c r="L270" s="17" t="inlineStr">
        <is>
          <t>Free</t>
        </is>
      </c>
      <c r="M270" s="17" t="n">
        <v>26</v>
      </c>
      <c r="N270" s="17" t="inlineStr">
        <is>
          <t>No</t>
        </is>
      </c>
      <c r="O270" s="17">
        <f>TEXT(G270,"yyyy-mm")</f>
        <v/>
      </c>
      <c r="P270" s="17">
        <f>IF(H270&lt;20,"Low",IF(H270&lt;=60,"Medium","High"))</f>
        <v/>
      </c>
      <c r="Q270" s="17">
        <f>IF(I270&gt;0,"Yes","No")</f>
        <v/>
      </c>
      <c r="R270" s="17">
        <f>IF(N270="Yes",1,0)</f>
        <v/>
      </c>
      <c r="S270" s="17">
        <f>IF(N270=IF(OR(H270&gt;150,I270&gt;40),"Yes","No"),"Match","Mismatch")</f>
        <v/>
      </c>
    </row>
    <row r="271">
      <c r="A271" s="17" t="inlineStr">
        <is>
          <t>S00492</t>
        </is>
      </c>
      <c r="B271" s="17" t="inlineStr">
        <is>
          <t>P6606</t>
        </is>
      </c>
      <c r="C271" s="17" t="inlineStr">
        <is>
          <t>krogers</t>
        </is>
      </c>
      <c r="D271" s="17" t="inlineStr">
        <is>
          <t>SpeedX</t>
        </is>
      </c>
      <c r="E271" s="17" t="inlineStr">
        <is>
          <t>PC</t>
        </is>
      </c>
      <c r="F271" s="17" t="inlineStr">
        <is>
          <t>North</t>
        </is>
      </c>
      <c r="G271" s="18" t="n">
        <v>45738</v>
      </c>
      <c r="H271" s="17" t="n">
        <v>63</v>
      </c>
      <c r="I271" s="17" t="n">
        <v>0</v>
      </c>
      <c r="J271" s="17" t="inlineStr">
        <is>
          <t>No Purchase</t>
        </is>
      </c>
      <c r="K271" s="17" t="inlineStr">
        <is>
          <t>Completed</t>
        </is>
      </c>
      <c r="L271" s="17" t="inlineStr">
        <is>
          <t>Free</t>
        </is>
      </c>
      <c r="M271" s="17" t="n">
        <v>4</v>
      </c>
      <c r="N271" s="17" t="inlineStr">
        <is>
          <t>No</t>
        </is>
      </c>
      <c r="O271" s="17">
        <f>TEXT(G271,"yyyy-mm")</f>
        <v/>
      </c>
      <c r="P271" s="17">
        <f>IF(H271&lt;20,"Low",IF(H271&lt;=60,"Medium","High"))</f>
        <v/>
      </c>
      <c r="Q271" s="17">
        <f>IF(I271&gt;0,"Yes","No")</f>
        <v/>
      </c>
      <c r="R271" s="17">
        <f>IF(N271="Yes",1,0)</f>
        <v/>
      </c>
      <c r="S271" s="17">
        <f>IF(N271=IF(OR(H271&gt;150,I271&gt;40),"Yes","No"),"Match","Mismatch")</f>
        <v/>
      </c>
    </row>
    <row r="272">
      <c r="A272" s="17" t="inlineStr">
        <is>
          <t>S00023</t>
        </is>
      </c>
      <c r="B272" s="17" t="inlineStr">
        <is>
          <t>P4722</t>
        </is>
      </c>
      <c r="C272" s="17" t="inlineStr">
        <is>
          <t>david54</t>
        </is>
      </c>
      <c r="D272" s="17" t="inlineStr">
        <is>
          <t>Zombie Rush</t>
        </is>
      </c>
      <c r="E272" s="17" t="inlineStr">
        <is>
          <t>Console</t>
        </is>
      </c>
      <c r="F272" s="17" t="inlineStr">
        <is>
          <t>North</t>
        </is>
      </c>
      <c r="G272" s="18" t="n">
        <v>45738</v>
      </c>
      <c r="H272" s="17" t="n">
        <v>58</v>
      </c>
      <c r="I272" s="17" t="n">
        <v>0</v>
      </c>
      <c r="J272" s="17" t="inlineStr">
        <is>
          <t>No Purchase</t>
        </is>
      </c>
      <c r="K272" s="17" t="inlineStr">
        <is>
          <t>Completed</t>
        </is>
      </c>
      <c r="L272" s="17" t="inlineStr">
        <is>
          <t>Free</t>
        </is>
      </c>
      <c r="M272" s="17" t="n">
        <v>37</v>
      </c>
      <c r="N272" s="17" t="inlineStr">
        <is>
          <t>No</t>
        </is>
      </c>
      <c r="O272" s="17">
        <f>TEXT(G272,"yyyy-mm")</f>
        <v/>
      </c>
      <c r="P272" s="17">
        <f>IF(H272&lt;20,"Low",IF(H272&lt;=60,"Medium","High"))</f>
        <v/>
      </c>
      <c r="Q272" s="17">
        <f>IF(I272&gt;0,"Yes","No")</f>
        <v/>
      </c>
      <c r="R272" s="17">
        <f>IF(N272="Yes",1,0)</f>
        <v/>
      </c>
      <c r="S272" s="17">
        <f>IF(N272=IF(OR(H272&gt;150,I272&gt;40),"Yes","No"),"Match","Mismatch")</f>
        <v/>
      </c>
    </row>
    <row r="273">
      <c r="A273" s="17" t="inlineStr">
        <is>
          <t>S00396</t>
        </is>
      </c>
      <c r="B273" s="17" t="inlineStr">
        <is>
          <t>P2202</t>
        </is>
      </c>
      <c r="C273" s="17" t="inlineStr">
        <is>
          <t>soliskyle</t>
        </is>
      </c>
      <c r="D273" s="17" t="inlineStr">
        <is>
          <t>SpeedX</t>
        </is>
      </c>
      <c r="E273" s="17" t="inlineStr">
        <is>
          <t>Mobile</t>
        </is>
      </c>
      <c r="F273" s="17" t="inlineStr">
        <is>
          <t>East</t>
        </is>
      </c>
      <c r="G273" s="18" t="n">
        <v>45739</v>
      </c>
      <c r="H273" s="17" t="n">
        <v>88</v>
      </c>
      <c r="I273" s="17" t="n">
        <v>0</v>
      </c>
      <c r="J273" s="17" t="inlineStr">
        <is>
          <t>No Purchase</t>
        </is>
      </c>
      <c r="K273" s="17" t="inlineStr">
        <is>
          <t>Completed</t>
        </is>
      </c>
      <c r="L273" s="17" t="inlineStr">
        <is>
          <t>Free</t>
        </is>
      </c>
      <c r="M273" s="17" t="n">
        <v>2</v>
      </c>
      <c r="N273" s="17" t="inlineStr">
        <is>
          <t>No</t>
        </is>
      </c>
      <c r="O273" s="17">
        <f>TEXT(G273,"yyyy-mm")</f>
        <v/>
      </c>
      <c r="P273" s="17">
        <f>IF(H273&lt;20,"Low",IF(H273&lt;=60,"Medium","High"))</f>
        <v/>
      </c>
      <c r="Q273" s="17">
        <f>IF(I273&gt;0,"Yes","No")</f>
        <v/>
      </c>
      <c r="R273" s="17">
        <f>IF(N273="Yes",1,0)</f>
        <v/>
      </c>
      <c r="S273" s="17">
        <f>IF(N273=IF(OR(H273&gt;150,I273&gt;40),"Yes","No"),"Match","Mismatch")</f>
        <v/>
      </c>
    </row>
    <row r="274">
      <c r="A274" s="17" t="inlineStr">
        <is>
          <t>S00434</t>
        </is>
      </c>
      <c r="B274" s="17" t="inlineStr">
        <is>
          <t>P2246</t>
        </is>
      </c>
      <c r="C274" s="17" t="inlineStr">
        <is>
          <t>lisajames</t>
        </is>
      </c>
      <c r="D274" s="17" t="inlineStr">
        <is>
          <t>Empire Wars</t>
        </is>
      </c>
      <c r="E274" s="17" t="inlineStr">
        <is>
          <t>Mobile</t>
        </is>
      </c>
      <c r="F274" s="17" t="inlineStr">
        <is>
          <t>South</t>
        </is>
      </c>
      <c r="G274" s="18" t="n">
        <v>45739</v>
      </c>
      <c r="H274" s="17" t="n">
        <v>80</v>
      </c>
      <c r="I274" s="17" t="n">
        <v>0</v>
      </c>
      <c r="J274" s="17" t="inlineStr">
        <is>
          <t>No Purchase</t>
        </is>
      </c>
      <c r="K274" s="17" t="inlineStr">
        <is>
          <t>Incomplete</t>
        </is>
      </c>
      <c r="L274" s="17" t="inlineStr">
        <is>
          <t>Free</t>
        </is>
      </c>
      <c r="M274" s="17" t="n">
        <v>3</v>
      </c>
      <c r="N274" s="17" t="inlineStr">
        <is>
          <t>No</t>
        </is>
      </c>
      <c r="O274" s="17">
        <f>TEXT(G274,"yyyy-mm")</f>
        <v/>
      </c>
      <c r="P274" s="17">
        <f>IF(H274&lt;20,"Low",IF(H274&lt;=60,"Medium","High"))</f>
        <v/>
      </c>
      <c r="Q274" s="17">
        <f>IF(I274&gt;0,"Yes","No")</f>
        <v/>
      </c>
      <c r="R274" s="17">
        <f>IF(N274="Yes",1,0)</f>
        <v/>
      </c>
      <c r="S274" s="17">
        <f>IF(N274=IF(OR(H274&gt;150,I274&gt;40),"Yes","No"),"Match","Mismatch")</f>
        <v/>
      </c>
    </row>
    <row r="275">
      <c r="A275" s="17" t="inlineStr">
        <is>
          <t>S00062</t>
        </is>
      </c>
      <c r="B275" s="17" t="inlineStr">
        <is>
          <t>P1805</t>
        </is>
      </c>
      <c r="C275" s="17" t="inlineStr">
        <is>
          <t>charlesjohnson</t>
        </is>
      </c>
      <c r="D275" s="17" t="inlineStr">
        <is>
          <t>SpeedX</t>
        </is>
      </c>
      <c r="E275" s="17" t="inlineStr">
        <is>
          <t>Mobile</t>
        </is>
      </c>
      <c r="F275" s="17" t="inlineStr">
        <is>
          <t>West</t>
        </is>
      </c>
      <c r="G275" s="18" t="n">
        <v>45739</v>
      </c>
      <c r="H275" s="17" t="n">
        <v>153</v>
      </c>
      <c r="I275" s="17" t="n">
        <v>0</v>
      </c>
      <c r="J275" s="17" t="inlineStr">
        <is>
          <t>No Purchase</t>
        </is>
      </c>
      <c r="K275" s="17" t="inlineStr">
        <is>
          <t>Completed</t>
        </is>
      </c>
      <c r="L275" s="17" t="inlineStr">
        <is>
          <t>Paid</t>
        </is>
      </c>
      <c r="M275" s="17" t="n">
        <v>44</v>
      </c>
      <c r="N275" s="17" t="inlineStr">
        <is>
          <t>Yes</t>
        </is>
      </c>
      <c r="O275" s="17">
        <f>TEXT(G275,"yyyy-mm")</f>
        <v/>
      </c>
      <c r="P275" s="17">
        <f>IF(H275&lt;20,"Low",IF(H275&lt;=60,"Medium","High"))</f>
        <v/>
      </c>
      <c r="Q275" s="17">
        <f>IF(I275&gt;0,"Yes","No")</f>
        <v/>
      </c>
      <c r="R275" s="17">
        <f>IF(N275="Yes",1,0)</f>
        <v/>
      </c>
      <c r="S275" s="17">
        <f>IF(N275=IF(OR(H275&gt;150,I275&gt;40),"Yes","No"),"Match","Mismatch")</f>
        <v/>
      </c>
    </row>
    <row r="276">
      <c r="A276" s="17" t="inlineStr">
        <is>
          <t>S00082</t>
        </is>
      </c>
      <c r="B276" s="17" t="inlineStr">
        <is>
          <t>P7193</t>
        </is>
      </c>
      <c r="C276" s="17" t="inlineStr">
        <is>
          <t>tlloyd</t>
        </is>
      </c>
      <c r="D276" s="17" t="inlineStr">
        <is>
          <t>Zombie Rush</t>
        </is>
      </c>
      <c r="E276" s="17" t="inlineStr">
        <is>
          <t>PC</t>
        </is>
      </c>
      <c r="F276" s="17" t="inlineStr">
        <is>
          <t>South</t>
        </is>
      </c>
      <c r="G276" s="18" t="n">
        <v>45739</v>
      </c>
      <c r="H276" s="17" t="n">
        <v>144</v>
      </c>
      <c r="I276" s="17" t="n">
        <v>0</v>
      </c>
      <c r="J276" s="17" t="inlineStr">
        <is>
          <t>No Purchase</t>
        </is>
      </c>
      <c r="K276" s="17" t="inlineStr">
        <is>
          <t>Completed</t>
        </is>
      </c>
      <c r="L276" s="17" t="inlineStr">
        <is>
          <t>Free</t>
        </is>
      </c>
      <c r="M276" s="17" t="n">
        <v>35</v>
      </c>
      <c r="N276" s="17" t="inlineStr">
        <is>
          <t>No</t>
        </is>
      </c>
      <c r="O276" s="17">
        <f>TEXT(G276,"yyyy-mm")</f>
        <v/>
      </c>
      <c r="P276" s="17">
        <f>IF(H276&lt;20,"Low",IF(H276&lt;=60,"Medium","High"))</f>
        <v/>
      </c>
      <c r="Q276" s="17">
        <f>IF(I276&gt;0,"Yes","No")</f>
        <v/>
      </c>
      <c r="R276" s="17">
        <f>IF(N276="Yes",1,0)</f>
        <v/>
      </c>
      <c r="S276" s="17">
        <f>IF(N276=IF(OR(H276&gt;150,I276&gt;40),"Yes","No"),"Match","Mismatch")</f>
        <v/>
      </c>
    </row>
    <row r="277">
      <c r="A277" s="17" t="inlineStr">
        <is>
          <t>S00024</t>
        </is>
      </c>
      <c r="B277" s="17" t="inlineStr">
        <is>
          <t>P8146</t>
        </is>
      </c>
      <c r="C277" s="17" t="inlineStr">
        <is>
          <t>rcraig</t>
        </is>
      </c>
      <c r="D277" s="17" t="inlineStr">
        <is>
          <t>SpeedX</t>
        </is>
      </c>
      <c r="E277" s="17" t="inlineStr">
        <is>
          <t>PC</t>
        </is>
      </c>
      <c r="F277" s="17" t="inlineStr">
        <is>
          <t>West</t>
        </is>
      </c>
      <c r="G277" s="18" t="n">
        <v>45740</v>
      </c>
      <c r="H277" s="17" t="n">
        <v>121</v>
      </c>
      <c r="I277" s="17" t="n">
        <v>7.28</v>
      </c>
      <c r="J277" s="17" t="inlineStr">
        <is>
          <t>Boosters</t>
        </is>
      </c>
      <c r="K277" s="17" t="inlineStr">
        <is>
          <t>Completed</t>
        </is>
      </c>
      <c r="L277" s="17" t="inlineStr">
        <is>
          <t>Paid</t>
        </is>
      </c>
      <c r="M277" s="17" t="n">
        <v>34</v>
      </c>
      <c r="N277" s="17" t="inlineStr">
        <is>
          <t>No</t>
        </is>
      </c>
      <c r="O277" s="17">
        <f>TEXT(G277,"yyyy-mm")</f>
        <v/>
      </c>
      <c r="P277" s="17">
        <f>IF(H277&lt;20,"Low",IF(H277&lt;=60,"Medium","High"))</f>
        <v/>
      </c>
      <c r="Q277" s="17">
        <f>IF(I277&gt;0,"Yes","No")</f>
        <v/>
      </c>
      <c r="R277" s="17">
        <f>IF(N277="Yes",1,0)</f>
        <v/>
      </c>
      <c r="S277" s="17">
        <f>IF(N277=IF(OR(H277&gt;150,I277&gt;40),"Yes","No"),"Match","Mismatch")</f>
        <v/>
      </c>
    </row>
    <row r="278">
      <c r="A278" s="17" t="inlineStr">
        <is>
          <t>S00141</t>
        </is>
      </c>
      <c r="B278" s="17" t="inlineStr">
        <is>
          <t>P2727</t>
        </is>
      </c>
      <c r="C278" s="17" t="inlineStr">
        <is>
          <t>allison25</t>
        </is>
      </c>
      <c r="D278" s="17" t="inlineStr">
        <is>
          <t>SpeedX</t>
        </is>
      </c>
      <c r="E278" s="17" t="inlineStr">
        <is>
          <t>Mobile</t>
        </is>
      </c>
      <c r="F278" s="17" t="inlineStr">
        <is>
          <t>North-East</t>
        </is>
      </c>
      <c r="G278" s="18" t="n">
        <v>45741</v>
      </c>
      <c r="H278" s="17" t="n">
        <v>46</v>
      </c>
      <c r="I278" s="17" t="n">
        <v>0</v>
      </c>
      <c r="J278" s="17" t="inlineStr">
        <is>
          <t>No Purchase</t>
        </is>
      </c>
      <c r="K278" s="17" t="inlineStr">
        <is>
          <t>Completed</t>
        </is>
      </c>
      <c r="L278" s="17" t="inlineStr">
        <is>
          <t>Free</t>
        </is>
      </c>
      <c r="M278" s="17" t="n">
        <v>17</v>
      </c>
      <c r="N278" s="17" t="inlineStr">
        <is>
          <t>No</t>
        </is>
      </c>
      <c r="O278" s="17">
        <f>TEXT(G278,"yyyy-mm")</f>
        <v/>
      </c>
      <c r="P278" s="17">
        <f>IF(H278&lt;20,"Low",IF(H278&lt;=60,"Medium","High"))</f>
        <v/>
      </c>
      <c r="Q278" s="17">
        <f>IF(I278&gt;0,"Yes","No")</f>
        <v/>
      </c>
      <c r="R278" s="17">
        <f>IF(N278="Yes",1,0)</f>
        <v/>
      </c>
      <c r="S278" s="17">
        <f>IF(N278=IF(OR(H278&gt;150,I278&gt;40),"Yes","No"),"Match","Mismatch")</f>
        <v/>
      </c>
    </row>
    <row r="279">
      <c r="A279" s="17" t="inlineStr">
        <is>
          <t>S00026</t>
        </is>
      </c>
      <c r="B279" s="17" t="inlineStr">
        <is>
          <t>P3548</t>
        </is>
      </c>
      <c r="C279" s="17" t="inlineStr">
        <is>
          <t>erica07</t>
        </is>
      </c>
      <c r="D279" s="17" t="inlineStr">
        <is>
          <t>Empire Wars</t>
        </is>
      </c>
      <c r="E279" s="17" t="inlineStr">
        <is>
          <t>PC</t>
        </is>
      </c>
      <c r="F279" s="17" t="inlineStr">
        <is>
          <t>North-East</t>
        </is>
      </c>
      <c r="G279" s="18" t="n">
        <v>45741</v>
      </c>
      <c r="H279" s="17" t="n">
        <v>96</v>
      </c>
      <c r="I279" s="17" t="n">
        <v>0</v>
      </c>
      <c r="J279" s="17" t="inlineStr">
        <is>
          <t>No Purchase</t>
        </is>
      </c>
      <c r="K279" s="17" t="inlineStr">
        <is>
          <t>Completed</t>
        </is>
      </c>
      <c r="L279" s="17" t="inlineStr">
        <is>
          <t>Paid</t>
        </is>
      </c>
      <c r="M279" s="17" t="n">
        <v>17</v>
      </c>
      <c r="N279" s="17" t="inlineStr">
        <is>
          <t>No</t>
        </is>
      </c>
      <c r="O279" s="17">
        <f>TEXT(G279,"yyyy-mm")</f>
        <v/>
      </c>
      <c r="P279" s="17">
        <f>IF(H279&lt;20,"Low",IF(H279&lt;=60,"Medium","High"))</f>
        <v/>
      </c>
      <c r="Q279" s="17">
        <f>IF(I279&gt;0,"Yes","No")</f>
        <v/>
      </c>
      <c r="R279" s="17">
        <f>IF(N279="Yes",1,0)</f>
        <v/>
      </c>
      <c r="S279" s="17">
        <f>IF(N279=IF(OR(H279&gt;150,I279&gt;40),"Yes","No"),"Match","Mismatch")</f>
        <v/>
      </c>
    </row>
    <row r="280">
      <c r="A280" s="17" t="inlineStr">
        <is>
          <t>S00202</t>
        </is>
      </c>
      <c r="B280" s="17" t="inlineStr">
        <is>
          <t>P8953</t>
        </is>
      </c>
      <c r="C280" s="17" t="inlineStr">
        <is>
          <t>mcdanielautumn</t>
        </is>
      </c>
      <c r="D280" s="17" t="inlineStr">
        <is>
          <t>Empire Wars</t>
        </is>
      </c>
      <c r="E280" s="17" t="inlineStr">
        <is>
          <t>PC</t>
        </is>
      </c>
      <c r="F280" s="17" t="inlineStr">
        <is>
          <t>North-East</t>
        </is>
      </c>
      <c r="G280" s="18" t="n">
        <v>45742</v>
      </c>
      <c r="H280" s="17" t="n">
        <v>42</v>
      </c>
      <c r="I280" s="17" t="n">
        <v>32.85</v>
      </c>
      <c r="J280" s="17" t="inlineStr">
        <is>
          <t>Subscriptions</t>
        </is>
      </c>
      <c r="K280" s="17" t="inlineStr">
        <is>
          <t>Incomplete</t>
        </is>
      </c>
      <c r="L280" s="17" t="inlineStr">
        <is>
          <t>Paid</t>
        </is>
      </c>
      <c r="M280" s="17" t="n">
        <v>38</v>
      </c>
      <c r="N280" s="17" t="inlineStr">
        <is>
          <t>No</t>
        </is>
      </c>
      <c r="O280" s="17">
        <f>TEXT(G280,"yyyy-mm")</f>
        <v/>
      </c>
      <c r="P280" s="17">
        <f>IF(H280&lt;20,"Low",IF(H280&lt;=60,"Medium","High"))</f>
        <v/>
      </c>
      <c r="Q280" s="17">
        <f>IF(I280&gt;0,"Yes","No")</f>
        <v/>
      </c>
      <c r="R280" s="17">
        <f>IF(N280="Yes",1,0)</f>
        <v/>
      </c>
      <c r="S280" s="17">
        <f>IF(N280=IF(OR(H280&gt;150,I280&gt;40),"Yes","No"),"Match","Mismatch")</f>
        <v/>
      </c>
    </row>
    <row r="281">
      <c r="A281" s="17" t="inlineStr">
        <is>
          <t>S00474</t>
        </is>
      </c>
      <c r="B281" s="17" t="inlineStr">
        <is>
          <t>P4635</t>
        </is>
      </c>
      <c r="C281" s="17" t="inlineStr">
        <is>
          <t>nicholas43</t>
        </is>
      </c>
      <c r="D281" s="17" t="inlineStr">
        <is>
          <t>SpeedX</t>
        </is>
      </c>
      <c r="E281" s="17" t="inlineStr">
        <is>
          <t>Mobile</t>
        </is>
      </c>
      <c r="F281" s="17" t="inlineStr">
        <is>
          <t>East</t>
        </is>
      </c>
      <c r="G281" s="18" t="n">
        <v>45742</v>
      </c>
      <c r="H281" s="17" t="n">
        <v>9</v>
      </c>
      <c r="I281" s="17" t="n">
        <v>0</v>
      </c>
      <c r="J281" s="17" t="inlineStr">
        <is>
          <t>No Purchase</t>
        </is>
      </c>
      <c r="K281" s="17" t="inlineStr">
        <is>
          <t>Completed</t>
        </is>
      </c>
      <c r="L281" s="17" t="inlineStr">
        <is>
          <t>Free</t>
        </is>
      </c>
      <c r="M281" s="17" t="n">
        <v>21</v>
      </c>
      <c r="N281" s="17" t="inlineStr">
        <is>
          <t>No</t>
        </is>
      </c>
      <c r="O281" s="17">
        <f>TEXT(G281,"yyyy-mm")</f>
        <v/>
      </c>
      <c r="P281" s="17">
        <f>IF(H281&lt;20,"Low",IF(H281&lt;=60,"Medium","High"))</f>
        <v/>
      </c>
      <c r="Q281" s="17">
        <f>IF(I281&gt;0,"Yes","No")</f>
        <v/>
      </c>
      <c r="R281" s="17">
        <f>IF(N281="Yes",1,0)</f>
        <v/>
      </c>
      <c r="S281" s="17">
        <f>IF(N281=IF(OR(H281&gt;150,I281&gt;40),"Yes","No"),"Match","Mismatch")</f>
        <v/>
      </c>
    </row>
    <row r="282">
      <c r="A282" s="17" t="inlineStr">
        <is>
          <t>S00006</t>
        </is>
      </c>
      <c r="B282" s="17" t="inlineStr">
        <is>
          <t>P9919</t>
        </is>
      </c>
      <c r="C282" s="17" t="inlineStr">
        <is>
          <t>lrichardson</t>
        </is>
      </c>
      <c r="D282" s="17" t="inlineStr">
        <is>
          <t>Zombie Rush</t>
        </is>
      </c>
      <c r="E282" s="17" t="inlineStr">
        <is>
          <t>Mobile</t>
        </is>
      </c>
      <c r="F282" s="17" t="inlineStr">
        <is>
          <t>North</t>
        </is>
      </c>
      <c r="G282" s="18" t="n">
        <v>45743</v>
      </c>
      <c r="H282" s="17" t="n">
        <v>46</v>
      </c>
      <c r="I282" s="17" t="n">
        <v>0</v>
      </c>
      <c r="J282" s="17" t="inlineStr">
        <is>
          <t>No Purchase</t>
        </is>
      </c>
      <c r="K282" s="17" t="inlineStr">
        <is>
          <t>Crashed</t>
        </is>
      </c>
      <c r="L282" s="17" t="inlineStr">
        <is>
          <t>Free</t>
        </is>
      </c>
      <c r="M282" s="17" t="n">
        <v>39</v>
      </c>
      <c r="N282" s="17" t="inlineStr">
        <is>
          <t>No</t>
        </is>
      </c>
      <c r="O282" s="17">
        <f>TEXT(G282,"yyyy-mm")</f>
        <v/>
      </c>
      <c r="P282" s="17">
        <f>IF(H282&lt;20,"Low",IF(H282&lt;=60,"Medium","High"))</f>
        <v/>
      </c>
      <c r="Q282" s="17">
        <f>IF(I282&gt;0,"Yes","No")</f>
        <v/>
      </c>
      <c r="R282" s="17">
        <f>IF(N282="Yes",1,0)</f>
        <v/>
      </c>
      <c r="S282" s="17">
        <f>IF(N282=IF(OR(H282&gt;150,I282&gt;40),"Yes","No"),"Match","Mismatch")</f>
        <v/>
      </c>
    </row>
    <row r="283">
      <c r="A283" s="17" t="inlineStr">
        <is>
          <t>S00180</t>
        </is>
      </c>
      <c r="B283" s="17" t="inlineStr">
        <is>
          <t>P9205</t>
        </is>
      </c>
      <c r="C283" s="17" t="inlineStr">
        <is>
          <t>douglas13</t>
        </is>
      </c>
      <c r="D283" s="17" t="inlineStr">
        <is>
          <t>Zombie Rush</t>
        </is>
      </c>
      <c r="E283" s="17" t="inlineStr">
        <is>
          <t>PC</t>
        </is>
      </c>
      <c r="F283" s="17" t="inlineStr">
        <is>
          <t>South</t>
        </is>
      </c>
      <c r="G283" s="18" t="n">
        <v>45743</v>
      </c>
      <c r="H283" s="17" t="n">
        <v>90</v>
      </c>
      <c r="I283" s="17" t="n">
        <v>33.43</v>
      </c>
      <c r="J283" s="17" t="inlineStr">
        <is>
          <t>Boosters</t>
        </is>
      </c>
      <c r="K283" s="17" t="inlineStr">
        <is>
          <t>Exited Early</t>
        </is>
      </c>
      <c r="L283" s="17" t="inlineStr">
        <is>
          <t>Paid</t>
        </is>
      </c>
      <c r="M283" s="17" t="n">
        <v>50</v>
      </c>
      <c r="N283" s="17" t="inlineStr">
        <is>
          <t>No</t>
        </is>
      </c>
      <c r="O283" s="17">
        <f>TEXT(G283,"yyyy-mm")</f>
        <v/>
      </c>
      <c r="P283" s="17">
        <f>IF(H283&lt;20,"Low",IF(H283&lt;=60,"Medium","High"))</f>
        <v/>
      </c>
      <c r="Q283" s="17">
        <f>IF(I283&gt;0,"Yes","No")</f>
        <v/>
      </c>
      <c r="R283" s="17">
        <f>IF(N283="Yes",1,0)</f>
        <v/>
      </c>
      <c r="S283" s="17">
        <f>IF(N283=IF(OR(H283&gt;150,I283&gt;40),"Yes","No"),"Match","Mismatch")</f>
        <v/>
      </c>
    </row>
    <row r="284">
      <c r="A284" s="17" t="inlineStr">
        <is>
          <t>S00079</t>
        </is>
      </c>
      <c r="B284" s="17" t="inlineStr">
        <is>
          <t>P9765</t>
        </is>
      </c>
      <c r="C284" s="17" t="inlineStr">
        <is>
          <t>hannah41</t>
        </is>
      </c>
      <c r="D284" s="17" t="inlineStr">
        <is>
          <t>SpeedX</t>
        </is>
      </c>
      <c r="E284" s="17" t="inlineStr">
        <is>
          <t>PC</t>
        </is>
      </c>
      <c r="F284" s="17" t="inlineStr">
        <is>
          <t>North</t>
        </is>
      </c>
      <c r="G284" s="18" t="n">
        <v>45743</v>
      </c>
      <c r="H284" s="17" t="n">
        <v>112</v>
      </c>
      <c r="I284" s="17" t="n">
        <v>0</v>
      </c>
      <c r="J284" s="17" t="inlineStr">
        <is>
          <t>No Purchase</t>
        </is>
      </c>
      <c r="K284" s="17" t="inlineStr">
        <is>
          <t>Completed</t>
        </is>
      </c>
      <c r="L284" s="17" t="inlineStr">
        <is>
          <t>Free</t>
        </is>
      </c>
      <c r="M284" s="17" t="n">
        <v>21</v>
      </c>
      <c r="N284" s="17" t="inlineStr">
        <is>
          <t>No</t>
        </is>
      </c>
      <c r="O284" s="17">
        <f>TEXT(G284,"yyyy-mm")</f>
        <v/>
      </c>
      <c r="P284" s="17">
        <f>IF(H284&lt;20,"Low",IF(H284&lt;=60,"Medium","High"))</f>
        <v/>
      </c>
      <c r="Q284" s="17">
        <f>IF(I284&gt;0,"Yes","No")</f>
        <v/>
      </c>
      <c r="R284" s="17">
        <f>IF(N284="Yes",1,0)</f>
        <v/>
      </c>
      <c r="S284" s="17">
        <f>IF(N284=IF(OR(H284&gt;150,I284&gt;40),"Yes","No"),"Match","Mismatch")</f>
        <v/>
      </c>
    </row>
    <row r="285">
      <c r="A285" s="17" t="inlineStr">
        <is>
          <t>S00496</t>
        </is>
      </c>
      <c r="B285" s="17" t="inlineStr">
        <is>
          <t>P2872</t>
        </is>
      </c>
      <c r="C285" s="17" t="inlineStr">
        <is>
          <t>april12</t>
        </is>
      </c>
      <c r="D285" s="17" t="inlineStr">
        <is>
          <t>BattleZone</t>
        </is>
      </c>
      <c r="E285" s="17" t="inlineStr">
        <is>
          <t>Mobile</t>
        </is>
      </c>
      <c r="F285" s="17" t="inlineStr">
        <is>
          <t>North</t>
        </is>
      </c>
      <c r="G285" s="18" t="n">
        <v>45743</v>
      </c>
      <c r="H285" s="17" t="n">
        <v>24</v>
      </c>
      <c r="I285" s="17" t="n">
        <v>0</v>
      </c>
      <c r="J285" s="17" t="inlineStr">
        <is>
          <t>No Purchase</t>
        </is>
      </c>
      <c r="K285" s="17" t="inlineStr">
        <is>
          <t>Completed</t>
        </is>
      </c>
      <c r="L285" s="17" t="inlineStr">
        <is>
          <t>Paid</t>
        </is>
      </c>
      <c r="M285" s="17" t="n">
        <v>33</v>
      </c>
      <c r="N285" s="17" t="inlineStr">
        <is>
          <t>No</t>
        </is>
      </c>
      <c r="O285" s="17">
        <f>TEXT(G285,"yyyy-mm")</f>
        <v/>
      </c>
      <c r="P285" s="17">
        <f>IF(H285&lt;20,"Low",IF(H285&lt;=60,"Medium","High"))</f>
        <v/>
      </c>
      <c r="Q285" s="17">
        <f>IF(I285&gt;0,"Yes","No")</f>
        <v/>
      </c>
      <c r="R285" s="17">
        <f>IF(N285="Yes",1,0)</f>
        <v/>
      </c>
      <c r="S285" s="17">
        <f>IF(N285=IF(OR(H285&gt;150,I285&gt;40),"Yes","No"),"Match","Mismatch")</f>
        <v/>
      </c>
    </row>
    <row r="286">
      <c r="A286" s="17" t="inlineStr">
        <is>
          <t>S00278</t>
        </is>
      </c>
      <c r="B286" s="17" t="inlineStr">
        <is>
          <t>P7465</t>
        </is>
      </c>
      <c r="C286" s="17" t="inlineStr">
        <is>
          <t>foxdawn</t>
        </is>
      </c>
      <c r="D286" s="17" t="inlineStr">
        <is>
          <t>Zombie Rush</t>
        </is>
      </c>
      <c r="E286" s="17" t="inlineStr">
        <is>
          <t>Console</t>
        </is>
      </c>
      <c r="F286" s="17" t="inlineStr">
        <is>
          <t>North</t>
        </is>
      </c>
      <c r="G286" s="18" t="n">
        <v>45744</v>
      </c>
      <c r="H286" s="17" t="n">
        <v>175</v>
      </c>
      <c r="I286" s="17" t="n">
        <v>0</v>
      </c>
      <c r="J286" s="17" t="inlineStr">
        <is>
          <t>No Purchase</t>
        </is>
      </c>
      <c r="K286" s="17" t="inlineStr">
        <is>
          <t>Crashed</t>
        </is>
      </c>
      <c r="L286" s="17" t="inlineStr">
        <is>
          <t>Free</t>
        </is>
      </c>
      <c r="M286" s="17" t="n">
        <v>33</v>
      </c>
      <c r="N286" s="17" t="inlineStr">
        <is>
          <t>Yes</t>
        </is>
      </c>
      <c r="O286" s="17">
        <f>TEXT(G286,"yyyy-mm")</f>
        <v/>
      </c>
      <c r="P286" s="17">
        <f>IF(H286&lt;20,"Low",IF(H286&lt;=60,"Medium","High"))</f>
        <v/>
      </c>
      <c r="Q286" s="17">
        <f>IF(I286&gt;0,"Yes","No")</f>
        <v/>
      </c>
      <c r="R286" s="17">
        <f>IF(N286="Yes",1,0)</f>
        <v/>
      </c>
      <c r="S286" s="17">
        <f>IF(N286=IF(OR(H286&gt;150,I286&gt;40),"Yes","No"),"Match","Mismatch")</f>
        <v/>
      </c>
    </row>
    <row r="287">
      <c r="A287" s="17" t="inlineStr">
        <is>
          <t>S00194</t>
        </is>
      </c>
      <c r="B287" s="17" t="inlineStr">
        <is>
          <t>P9566</t>
        </is>
      </c>
      <c r="C287" s="17" t="inlineStr">
        <is>
          <t>rileyjason</t>
        </is>
      </c>
      <c r="D287" s="17" t="inlineStr">
        <is>
          <t>BattleZone</t>
        </is>
      </c>
      <c r="E287" s="17" t="inlineStr">
        <is>
          <t>PC</t>
        </is>
      </c>
      <c r="F287" s="17" t="inlineStr">
        <is>
          <t>South</t>
        </is>
      </c>
      <c r="G287" s="18" t="n">
        <v>45746</v>
      </c>
      <c r="H287" s="17" t="n">
        <v>19</v>
      </c>
      <c r="I287" s="17" t="n">
        <v>0</v>
      </c>
      <c r="J287" s="17" t="inlineStr">
        <is>
          <t>No Purchase</t>
        </is>
      </c>
      <c r="K287" s="17" t="inlineStr">
        <is>
          <t>Completed</t>
        </is>
      </c>
      <c r="L287" s="17" t="inlineStr">
        <is>
          <t>Free</t>
        </is>
      </c>
      <c r="M287" s="17" t="n">
        <v>27</v>
      </c>
      <c r="N287" s="17" t="inlineStr">
        <is>
          <t>No</t>
        </is>
      </c>
      <c r="O287" s="17">
        <f>TEXT(G287,"yyyy-mm")</f>
        <v/>
      </c>
      <c r="P287" s="17">
        <f>IF(H287&lt;20,"Low",IF(H287&lt;=60,"Medium","High"))</f>
        <v/>
      </c>
      <c r="Q287" s="17">
        <f>IF(I287&gt;0,"Yes","No")</f>
        <v/>
      </c>
      <c r="R287" s="17">
        <f>IF(N287="Yes",1,0)</f>
        <v/>
      </c>
      <c r="S287" s="17">
        <f>IF(N287=IF(OR(H287&gt;150,I287&gt;40),"Yes","No"),"Match","Mismatch")</f>
        <v/>
      </c>
    </row>
    <row r="288">
      <c r="A288" s="17" t="inlineStr">
        <is>
          <t>S00288</t>
        </is>
      </c>
      <c r="B288" s="17" t="inlineStr">
        <is>
          <t>P8167</t>
        </is>
      </c>
      <c r="C288" s="17" t="inlineStr">
        <is>
          <t>tyler13</t>
        </is>
      </c>
      <c r="D288" s="17" t="inlineStr">
        <is>
          <t>BattleZone</t>
        </is>
      </c>
      <c r="E288" s="17" t="inlineStr">
        <is>
          <t>Mobile</t>
        </is>
      </c>
      <c r="F288" s="17" t="inlineStr">
        <is>
          <t>Central</t>
        </is>
      </c>
      <c r="G288" s="18" t="n">
        <v>45746</v>
      </c>
      <c r="H288" s="17" t="n">
        <v>69</v>
      </c>
      <c r="I288" s="17" t="n">
        <v>0</v>
      </c>
      <c r="J288" s="17" t="inlineStr">
        <is>
          <t>No Purchase</t>
        </is>
      </c>
      <c r="K288" s="17" t="inlineStr">
        <is>
          <t>Incomplete</t>
        </is>
      </c>
      <c r="L288" s="17" t="inlineStr">
        <is>
          <t>Paid</t>
        </is>
      </c>
      <c r="M288" s="17" t="n">
        <v>17</v>
      </c>
      <c r="N288" s="17" t="inlineStr">
        <is>
          <t>No</t>
        </is>
      </c>
      <c r="O288" s="17">
        <f>TEXT(G288,"yyyy-mm")</f>
        <v/>
      </c>
      <c r="P288" s="17">
        <f>IF(H288&lt;20,"Low",IF(H288&lt;=60,"Medium","High"))</f>
        <v/>
      </c>
      <c r="Q288" s="17">
        <f>IF(I288&gt;0,"Yes","No")</f>
        <v/>
      </c>
      <c r="R288" s="17">
        <f>IF(N288="Yes",1,0)</f>
        <v/>
      </c>
      <c r="S288" s="17">
        <f>IF(N288=IF(OR(H288&gt;150,I288&gt;40),"Yes","No"),"Match","Mismatch")</f>
        <v/>
      </c>
    </row>
    <row r="289">
      <c r="A289" s="17" t="inlineStr">
        <is>
          <t>S00108</t>
        </is>
      </c>
      <c r="B289" s="17" t="inlineStr">
        <is>
          <t>P4776</t>
        </is>
      </c>
      <c r="C289" s="17" t="inlineStr">
        <is>
          <t>amydunn</t>
        </is>
      </c>
      <c r="D289" s="17" t="inlineStr">
        <is>
          <t>Empire Wars</t>
        </is>
      </c>
      <c r="E289" s="17" t="inlineStr">
        <is>
          <t>Console</t>
        </is>
      </c>
      <c r="F289" s="17" t="inlineStr">
        <is>
          <t>West</t>
        </is>
      </c>
      <c r="G289" s="18" t="n">
        <v>45747</v>
      </c>
      <c r="H289" s="17" t="n">
        <v>153</v>
      </c>
      <c r="I289" s="17" t="n">
        <v>0</v>
      </c>
      <c r="J289" s="17" t="inlineStr">
        <is>
          <t>No Purchase</t>
        </is>
      </c>
      <c r="K289" s="17" t="inlineStr">
        <is>
          <t>Crashed</t>
        </is>
      </c>
      <c r="L289" s="17" t="inlineStr">
        <is>
          <t>Free</t>
        </is>
      </c>
      <c r="M289" s="17" t="n">
        <v>25</v>
      </c>
      <c r="N289" s="17" t="inlineStr">
        <is>
          <t>Yes</t>
        </is>
      </c>
      <c r="O289" s="17">
        <f>TEXT(G289,"yyyy-mm")</f>
        <v/>
      </c>
      <c r="P289" s="17">
        <f>IF(H289&lt;20,"Low",IF(H289&lt;=60,"Medium","High"))</f>
        <v/>
      </c>
      <c r="Q289" s="17">
        <f>IF(I289&gt;0,"Yes","No")</f>
        <v/>
      </c>
      <c r="R289" s="17">
        <f>IF(N289="Yes",1,0)</f>
        <v/>
      </c>
      <c r="S289" s="17">
        <f>IF(N289=IF(OR(H289&gt;150,I289&gt;40),"Yes","No"),"Match","Mismatch")</f>
        <v/>
      </c>
    </row>
    <row r="290">
      <c r="A290" s="17" t="inlineStr">
        <is>
          <t>S00318</t>
        </is>
      </c>
      <c r="B290" s="17" t="inlineStr">
        <is>
          <t>P4946</t>
        </is>
      </c>
      <c r="C290" s="17" t="inlineStr">
        <is>
          <t>thompsontodd</t>
        </is>
      </c>
      <c r="D290" s="17" t="inlineStr">
        <is>
          <t>Empire Wars</t>
        </is>
      </c>
      <c r="E290" s="17" t="inlineStr">
        <is>
          <t>PC</t>
        </is>
      </c>
      <c r="F290" s="17" t="inlineStr">
        <is>
          <t>East</t>
        </is>
      </c>
      <c r="G290" s="18" t="n">
        <v>45747</v>
      </c>
      <c r="H290" s="17" t="n">
        <v>83</v>
      </c>
      <c r="I290" s="17" t="n">
        <v>0</v>
      </c>
      <c r="J290" s="17" t="inlineStr">
        <is>
          <t>No Purchase</t>
        </is>
      </c>
      <c r="K290" s="17" t="inlineStr">
        <is>
          <t>Completed</t>
        </is>
      </c>
      <c r="L290" s="17" t="inlineStr">
        <is>
          <t>Free</t>
        </is>
      </c>
      <c r="M290" s="17" t="n">
        <v>1</v>
      </c>
      <c r="N290" s="17" t="inlineStr">
        <is>
          <t>No</t>
        </is>
      </c>
      <c r="O290" s="17">
        <f>TEXT(G290,"yyyy-mm")</f>
        <v/>
      </c>
      <c r="P290" s="17">
        <f>IF(H290&lt;20,"Low",IF(H290&lt;=60,"Medium","High"))</f>
        <v/>
      </c>
      <c r="Q290" s="17">
        <f>IF(I290&gt;0,"Yes","No")</f>
        <v/>
      </c>
      <c r="R290" s="17">
        <f>IF(N290="Yes",1,0)</f>
        <v/>
      </c>
      <c r="S290" s="17">
        <f>IF(N290=IF(OR(H290&gt;150,I290&gt;40),"Yes","No"),"Match","Mismatch")</f>
        <v/>
      </c>
    </row>
    <row r="291">
      <c r="A291" s="17" t="inlineStr">
        <is>
          <t>S00316</t>
        </is>
      </c>
      <c r="B291" s="17" t="inlineStr">
        <is>
          <t>P3050</t>
        </is>
      </c>
      <c r="C291" s="17" t="inlineStr">
        <is>
          <t>gonzalezcindy</t>
        </is>
      </c>
      <c r="D291" s="17" t="inlineStr">
        <is>
          <t>Clash of Realms</t>
        </is>
      </c>
      <c r="E291" s="17" t="inlineStr">
        <is>
          <t>PC</t>
        </is>
      </c>
      <c r="F291" s="17" t="inlineStr">
        <is>
          <t>West</t>
        </is>
      </c>
      <c r="G291" s="18" t="n">
        <v>45747</v>
      </c>
      <c r="H291" s="17" t="n">
        <v>179</v>
      </c>
      <c r="I291" s="17" t="n">
        <v>0</v>
      </c>
      <c r="J291" s="17" t="inlineStr">
        <is>
          <t>No Purchase</t>
        </is>
      </c>
      <c r="K291" s="17" t="inlineStr">
        <is>
          <t>Completed</t>
        </is>
      </c>
      <c r="L291" s="17" t="inlineStr">
        <is>
          <t>Free</t>
        </is>
      </c>
      <c r="M291" s="17" t="n">
        <v>5</v>
      </c>
      <c r="N291" s="17" t="inlineStr">
        <is>
          <t>Yes</t>
        </is>
      </c>
      <c r="O291" s="17">
        <f>TEXT(G291,"yyyy-mm")</f>
        <v/>
      </c>
      <c r="P291" s="17">
        <f>IF(H291&lt;20,"Low",IF(H291&lt;=60,"Medium","High"))</f>
        <v/>
      </c>
      <c r="Q291" s="17">
        <f>IF(I291&gt;0,"Yes","No")</f>
        <v/>
      </c>
      <c r="R291" s="17">
        <f>IF(N291="Yes",1,0)</f>
        <v/>
      </c>
      <c r="S291" s="17">
        <f>IF(N291=IF(OR(H291&gt;150,I291&gt;40),"Yes","No"),"Match","Mismatch")</f>
        <v/>
      </c>
    </row>
    <row r="292">
      <c r="A292" s="17" t="inlineStr">
        <is>
          <t>S00302</t>
        </is>
      </c>
      <c r="B292" s="17" t="inlineStr">
        <is>
          <t>P5078</t>
        </is>
      </c>
      <c r="C292" s="17" t="inlineStr">
        <is>
          <t>elizabeth99</t>
        </is>
      </c>
      <c r="D292" s="17" t="inlineStr">
        <is>
          <t>Clash of Realms</t>
        </is>
      </c>
      <c r="E292" s="17" t="inlineStr">
        <is>
          <t>Mobile</t>
        </is>
      </c>
      <c r="F292" s="17" t="inlineStr">
        <is>
          <t>North</t>
        </is>
      </c>
      <c r="G292" s="18" t="n">
        <v>45748</v>
      </c>
      <c r="H292" s="17" t="n">
        <v>93</v>
      </c>
      <c r="I292" s="17" t="n">
        <v>0</v>
      </c>
      <c r="J292" s="17" t="inlineStr">
        <is>
          <t>No Purchase</t>
        </is>
      </c>
      <c r="K292" s="17" t="inlineStr">
        <is>
          <t>Completed</t>
        </is>
      </c>
      <c r="L292" s="17" t="inlineStr">
        <is>
          <t>Free</t>
        </is>
      </c>
      <c r="M292" s="17" t="n">
        <v>47</v>
      </c>
      <c r="N292" s="17" t="inlineStr">
        <is>
          <t>No</t>
        </is>
      </c>
      <c r="O292" s="17">
        <f>TEXT(G292,"yyyy-mm")</f>
        <v/>
      </c>
      <c r="P292" s="17">
        <f>IF(H292&lt;20,"Low",IF(H292&lt;=60,"Medium","High"))</f>
        <v/>
      </c>
      <c r="Q292" s="17">
        <f>IF(I292&gt;0,"Yes","No")</f>
        <v/>
      </c>
      <c r="R292" s="17">
        <f>IF(N292="Yes",1,0)</f>
        <v/>
      </c>
      <c r="S292" s="17">
        <f>IF(N292=IF(OR(H292&gt;150,I292&gt;40),"Yes","No"),"Match","Mismatch")</f>
        <v/>
      </c>
    </row>
    <row r="293">
      <c r="A293" s="17" t="inlineStr">
        <is>
          <t>S00182</t>
        </is>
      </c>
      <c r="B293" s="17" t="inlineStr">
        <is>
          <t>P3609</t>
        </is>
      </c>
      <c r="C293" s="17" t="inlineStr">
        <is>
          <t>brianlopez</t>
        </is>
      </c>
      <c r="D293" s="17" t="inlineStr">
        <is>
          <t>Zombie Rush</t>
        </is>
      </c>
      <c r="E293" s="17" t="inlineStr">
        <is>
          <t>Console</t>
        </is>
      </c>
      <c r="F293" s="17" t="inlineStr">
        <is>
          <t>North</t>
        </is>
      </c>
      <c r="G293" s="18" t="n">
        <v>45748</v>
      </c>
      <c r="H293" s="17" t="n">
        <v>88</v>
      </c>
      <c r="I293" s="17" t="n">
        <v>0</v>
      </c>
      <c r="J293" s="17" t="inlineStr">
        <is>
          <t>No Purchase</t>
        </is>
      </c>
      <c r="K293" s="17" t="inlineStr">
        <is>
          <t>Completed</t>
        </is>
      </c>
      <c r="L293" s="17" t="inlineStr">
        <is>
          <t>Free</t>
        </is>
      </c>
      <c r="M293" s="17" t="n">
        <v>39</v>
      </c>
      <c r="N293" s="17" t="inlineStr">
        <is>
          <t>No</t>
        </is>
      </c>
      <c r="O293" s="17">
        <f>TEXT(G293,"yyyy-mm")</f>
        <v/>
      </c>
      <c r="P293" s="17">
        <f>IF(H293&lt;20,"Low",IF(H293&lt;=60,"Medium","High"))</f>
        <v/>
      </c>
      <c r="Q293" s="17">
        <f>IF(I293&gt;0,"Yes","No")</f>
        <v/>
      </c>
      <c r="R293" s="17">
        <f>IF(N293="Yes",1,0)</f>
        <v/>
      </c>
      <c r="S293" s="17">
        <f>IF(N293=IF(OR(H293&gt;150,I293&gt;40),"Yes","No"),"Match","Mismatch")</f>
        <v/>
      </c>
    </row>
    <row r="294">
      <c r="A294" s="17" t="inlineStr">
        <is>
          <t>S00134</t>
        </is>
      </c>
      <c r="B294" s="17" t="inlineStr">
        <is>
          <t>P3200</t>
        </is>
      </c>
      <c r="C294" s="17" t="inlineStr">
        <is>
          <t>robert23</t>
        </is>
      </c>
      <c r="D294" s="17" t="inlineStr">
        <is>
          <t>SpeedX</t>
        </is>
      </c>
      <c r="E294" s="17" t="inlineStr">
        <is>
          <t>PC</t>
        </is>
      </c>
      <c r="F294" s="17" t="inlineStr">
        <is>
          <t>North</t>
        </is>
      </c>
      <c r="G294" s="18" t="n">
        <v>45748</v>
      </c>
      <c r="H294" s="17" t="n">
        <v>150</v>
      </c>
      <c r="I294" s="17" t="n">
        <v>0</v>
      </c>
      <c r="J294" s="17" t="inlineStr">
        <is>
          <t>No Purchase</t>
        </is>
      </c>
      <c r="K294" s="17" t="inlineStr">
        <is>
          <t>Completed</t>
        </is>
      </c>
      <c r="L294" s="17" t="inlineStr">
        <is>
          <t>Free</t>
        </is>
      </c>
      <c r="M294" s="17" t="n">
        <v>47</v>
      </c>
      <c r="N294" s="17" t="inlineStr">
        <is>
          <t>No</t>
        </is>
      </c>
      <c r="O294" s="17">
        <f>TEXT(G294,"yyyy-mm")</f>
        <v/>
      </c>
      <c r="P294" s="17">
        <f>IF(H294&lt;20,"Low",IF(H294&lt;=60,"Medium","High"))</f>
        <v/>
      </c>
      <c r="Q294" s="17">
        <f>IF(I294&gt;0,"Yes","No")</f>
        <v/>
      </c>
      <c r="R294" s="17">
        <f>IF(N294="Yes",1,0)</f>
        <v/>
      </c>
      <c r="S294" s="17">
        <f>IF(N294=IF(OR(H294&gt;150,I294&gt;40),"Yes","No"),"Match","Mismatch")</f>
        <v/>
      </c>
    </row>
    <row r="295">
      <c r="A295" s="17" t="inlineStr">
        <is>
          <t>S00486</t>
        </is>
      </c>
      <c r="B295" s="17" t="inlineStr">
        <is>
          <t>P1788</t>
        </is>
      </c>
      <c r="C295" s="17" t="inlineStr">
        <is>
          <t>bhenson</t>
        </is>
      </c>
      <c r="D295" s="17" t="inlineStr">
        <is>
          <t>SpeedX</t>
        </is>
      </c>
      <c r="E295" s="17" t="inlineStr">
        <is>
          <t>PC</t>
        </is>
      </c>
      <c r="F295" s="17" t="inlineStr">
        <is>
          <t>East</t>
        </is>
      </c>
      <c r="G295" s="18" t="n">
        <v>45748</v>
      </c>
      <c r="H295" s="17" t="n">
        <v>86</v>
      </c>
      <c r="I295" s="17" t="n">
        <v>0</v>
      </c>
      <c r="J295" s="17" t="inlineStr">
        <is>
          <t>No Purchase</t>
        </is>
      </c>
      <c r="K295" s="17" t="inlineStr">
        <is>
          <t>Completed</t>
        </is>
      </c>
      <c r="L295" s="17" t="inlineStr">
        <is>
          <t>Free</t>
        </is>
      </c>
      <c r="M295" s="17" t="n">
        <v>17</v>
      </c>
      <c r="N295" s="17" t="inlineStr">
        <is>
          <t>No</t>
        </is>
      </c>
      <c r="O295" s="17">
        <f>TEXT(G295,"yyyy-mm")</f>
        <v/>
      </c>
      <c r="P295" s="17">
        <f>IF(H295&lt;20,"Low",IF(H295&lt;=60,"Medium","High"))</f>
        <v/>
      </c>
      <c r="Q295" s="17">
        <f>IF(I295&gt;0,"Yes","No")</f>
        <v/>
      </c>
      <c r="R295" s="17">
        <f>IF(N295="Yes",1,0)</f>
        <v/>
      </c>
      <c r="S295" s="17">
        <f>IF(N295=IF(OR(H295&gt;150,I295&gt;40),"Yes","No"),"Match","Mismatch")</f>
        <v/>
      </c>
    </row>
    <row r="296">
      <c r="A296" s="17" t="inlineStr">
        <is>
          <t>S00116</t>
        </is>
      </c>
      <c r="B296" s="17" t="inlineStr">
        <is>
          <t>P7715</t>
        </is>
      </c>
      <c r="C296" s="17" t="inlineStr">
        <is>
          <t>vhart</t>
        </is>
      </c>
      <c r="D296" s="17" t="inlineStr">
        <is>
          <t>Zombie Rush</t>
        </is>
      </c>
      <c r="E296" s="17" t="inlineStr">
        <is>
          <t>Console</t>
        </is>
      </c>
      <c r="F296" s="17" t="inlineStr">
        <is>
          <t>North-East</t>
        </is>
      </c>
      <c r="G296" s="18" t="n">
        <v>45749</v>
      </c>
      <c r="H296" s="17" t="n">
        <v>65</v>
      </c>
      <c r="I296" s="17" t="n">
        <v>0</v>
      </c>
      <c r="J296" s="17" t="inlineStr">
        <is>
          <t>No Purchase</t>
        </is>
      </c>
      <c r="K296" s="17" t="inlineStr">
        <is>
          <t>Completed</t>
        </is>
      </c>
      <c r="L296" s="17" t="inlineStr">
        <is>
          <t>Free</t>
        </is>
      </c>
      <c r="M296" s="17" t="n">
        <v>8</v>
      </c>
      <c r="N296" s="17" t="inlineStr">
        <is>
          <t>No</t>
        </is>
      </c>
      <c r="O296" s="17">
        <f>TEXT(G296,"yyyy-mm")</f>
        <v/>
      </c>
      <c r="P296" s="17">
        <f>IF(H296&lt;20,"Low",IF(H296&lt;=60,"Medium","High"))</f>
        <v/>
      </c>
      <c r="Q296" s="17">
        <f>IF(I296&gt;0,"Yes","No")</f>
        <v/>
      </c>
      <c r="R296" s="17">
        <f>IF(N296="Yes",1,0)</f>
        <v/>
      </c>
      <c r="S296" s="17">
        <f>IF(N296=IF(OR(H296&gt;150,I296&gt;40),"Yes","No"),"Match","Mismatch")</f>
        <v/>
      </c>
    </row>
    <row r="297">
      <c r="A297" s="17" t="inlineStr">
        <is>
          <t>S00471</t>
        </is>
      </c>
      <c r="B297" s="17" t="inlineStr">
        <is>
          <t>P2833</t>
        </is>
      </c>
      <c r="C297" s="17" t="inlineStr">
        <is>
          <t>leonwells</t>
        </is>
      </c>
      <c r="D297" s="17" t="inlineStr">
        <is>
          <t>BattleZone</t>
        </is>
      </c>
      <c r="E297" s="17" t="inlineStr">
        <is>
          <t>PC</t>
        </is>
      </c>
      <c r="F297" s="17" t="inlineStr">
        <is>
          <t>Central</t>
        </is>
      </c>
      <c r="G297" s="18" t="n">
        <v>45749</v>
      </c>
      <c r="H297" s="17" t="n">
        <v>55</v>
      </c>
      <c r="I297" s="17" t="n">
        <v>40.58</v>
      </c>
      <c r="J297" s="17" t="inlineStr">
        <is>
          <t>Subscriptions</t>
        </is>
      </c>
      <c r="K297" s="17" t="inlineStr">
        <is>
          <t>Completed</t>
        </is>
      </c>
      <c r="L297" s="17" t="inlineStr">
        <is>
          <t>Paid</t>
        </is>
      </c>
      <c r="M297" s="17" t="n">
        <v>14</v>
      </c>
      <c r="N297" s="17" t="inlineStr">
        <is>
          <t>Yes</t>
        </is>
      </c>
      <c r="O297" s="17">
        <f>TEXT(G297,"yyyy-mm")</f>
        <v/>
      </c>
      <c r="P297" s="17">
        <f>IF(H297&lt;20,"Low",IF(H297&lt;=60,"Medium","High"))</f>
        <v/>
      </c>
      <c r="Q297" s="17">
        <f>IF(I297&gt;0,"Yes","No")</f>
        <v/>
      </c>
      <c r="R297" s="17">
        <f>IF(N297="Yes",1,0)</f>
        <v/>
      </c>
      <c r="S297" s="17">
        <f>IF(N297=IF(OR(H297&gt;150,I297&gt;40),"Yes","No"),"Match","Mismatch")</f>
        <v/>
      </c>
    </row>
    <row r="298">
      <c r="A298" s="17" t="inlineStr">
        <is>
          <t>S00244</t>
        </is>
      </c>
      <c r="B298" s="17" t="inlineStr">
        <is>
          <t>P8810</t>
        </is>
      </c>
      <c r="C298" s="17" t="inlineStr">
        <is>
          <t>tracy64</t>
        </is>
      </c>
      <c r="D298" s="17" t="inlineStr">
        <is>
          <t>Empire Wars</t>
        </is>
      </c>
      <c r="E298" s="17" t="inlineStr">
        <is>
          <t>Console</t>
        </is>
      </c>
      <c r="F298" s="17" t="inlineStr">
        <is>
          <t>North-East</t>
        </is>
      </c>
      <c r="G298" s="18" t="n">
        <v>45749</v>
      </c>
      <c r="H298" s="17" t="n">
        <v>175</v>
      </c>
      <c r="I298" s="17" t="n">
        <v>7.47</v>
      </c>
      <c r="J298" s="17" t="inlineStr">
        <is>
          <t>Skins</t>
        </is>
      </c>
      <c r="K298" s="17" t="inlineStr">
        <is>
          <t>Completed</t>
        </is>
      </c>
      <c r="L298" s="17" t="inlineStr">
        <is>
          <t>Paid</t>
        </is>
      </c>
      <c r="M298" s="17" t="n">
        <v>17</v>
      </c>
      <c r="N298" s="17" t="inlineStr">
        <is>
          <t>Yes</t>
        </is>
      </c>
      <c r="O298" s="17">
        <f>TEXT(G298,"yyyy-mm")</f>
        <v/>
      </c>
      <c r="P298" s="17">
        <f>IF(H298&lt;20,"Low",IF(H298&lt;=60,"Medium","High"))</f>
        <v/>
      </c>
      <c r="Q298" s="17">
        <f>IF(I298&gt;0,"Yes","No")</f>
        <v/>
      </c>
      <c r="R298" s="17">
        <f>IF(N298="Yes",1,0)</f>
        <v/>
      </c>
      <c r="S298" s="17">
        <f>IF(N298=IF(OR(H298&gt;150,I298&gt;40),"Yes","No"),"Match","Mismatch")</f>
        <v/>
      </c>
    </row>
    <row r="299">
      <c r="A299" s="17" t="inlineStr">
        <is>
          <t>S00240</t>
        </is>
      </c>
      <c r="B299" s="17" t="inlineStr">
        <is>
          <t>P9467</t>
        </is>
      </c>
      <c r="C299" s="17" t="inlineStr">
        <is>
          <t>fmay</t>
        </is>
      </c>
      <c r="D299" s="17" t="inlineStr">
        <is>
          <t>SpeedX</t>
        </is>
      </c>
      <c r="E299" s="17" t="inlineStr">
        <is>
          <t>Console</t>
        </is>
      </c>
      <c r="F299" s="17" t="inlineStr">
        <is>
          <t>East</t>
        </is>
      </c>
      <c r="G299" s="18" t="n">
        <v>45749</v>
      </c>
      <c r="H299" s="17" t="n">
        <v>116</v>
      </c>
      <c r="I299" s="17" t="n">
        <v>0</v>
      </c>
      <c r="J299" s="17" t="inlineStr">
        <is>
          <t>No Purchase</t>
        </is>
      </c>
      <c r="K299" s="17" t="inlineStr">
        <is>
          <t>Incomplete</t>
        </is>
      </c>
      <c r="L299" s="17" t="inlineStr">
        <is>
          <t>Paid</t>
        </is>
      </c>
      <c r="M299" s="17" t="n">
        <v>11</v>
      </c>
      <c r="N299" s="17" t="inlineStr">
        <is>
          <t>No</t>
        </is>
      </c>
      <c r="O299" s="17">
        <f>TEXT(G299,"yyyy-mm")</f>
        <v/>
      </c>
      <c r="P299" s="17">
        <f>IF(H299&lt;20,"Low",IF(H299&lt;=60,"Medium","High"))</f>
        <v/>
      </c>
      <c r="Q299" s="17">
        <f>IF(I299&gt;0,"Yes","No")</f>
        <v/>
      </c>
      <c r="R299" s="17">
        <f>IF(N299="Yes",1,0)</f>
        <v/>
      </c>
      <c r="S299" s="17">
        <f>IF(N299=IF(OR(H299&gt;150,I299&gt;40),"Yes","No"),"Match","Mismatch")</f>
        <v/>
      </c>
    </row>
    <row r="300">
      <c r="A300" s="17" t="inlineStr">
        <is>
          <t>S00275</t>
        </is>
      </c>
      <c r="B300" s="17" t="inlineStr">
        <is>
          <t>P7472</t>
        </is>
      </c>
      <c r="C300" s="17" t="inlineStr">
        <is>
          <t>kcook</t>
        </is>
      </c>
      <c r="D300" s="17" t="inlineStr">
        <is>
          <t>Empire Wars</t>
        </is>
      </c>
      <c r="E300" s="17" t="inlineStr">
        <is>
          <t>Mobile</t>
        </is>
      </c>
      <c r="F300" s="17" t="inlineStr">
        <is>
          <t>Central</t>
        </is>
      </c>
      <c r="G300" s="18" t="n">
        <v>45750</v>
      </c>
      <c r="H300" s="17" t="n">
        <v>87</v>
      </c>
      <c r="I300" s="17" t="n">
        <v>0</v>
      </c>
      <c r="J300" s="17" t="inlineStr">
        <is>
          <t>No Purchase</t>
        </is>
      </c>
      <c r="K300" s="17" t="inlineStr">
        <is>
          <t>Completed</t>
        </is>
      </c>
      <c r="L300" s="17" t="inlineStr">
        <is>
          <t>Free</t>
        </is>
      </c>
      <c r="M300" s="17" t="n">
        <v>33</v>
      </c>
      <c r="N300" s="17" t="inlineStr">
        <is>
          <t>No</t>
        </is>
      </c>
      <c r="O300" s="17">
        <f>TEXT(G300,"yyyy-mm")</f>
        <v/>
      </c>
      <c r="P300" s="17">
        <f>IF(H300&lt;20,"Low",IF(H300&lt;=60,"Medium","High"))</f>
        <v/>
      </c>
      <c r="Q300" s="17">
        <f>IF(I300&gt;0,"Yes","No")</f>
        <v/>
      </c>
      <c r="R300" s="17">
        <f>IF(N300="Yes",1,0)</f>
        <v/>
      </c>
      <c r="S300" s="17">
        <f>IF(N300=IF(OR(H300&gt;150,I300&gt;40),"Yes","No"),"Match","Mismatch")</f>
        <v/>
      </c>
    </row>
    <row r="301">
      <c r="A301" s="17" t="inlineStr">
        <is>
          <t>S00075</t>
        </is>
      </c>
      <c r="B301" s="17" t="inlineStr">
        <is>
          <t>P3222</t>
        </is>
      </c>
      <c r="C301" s="17" t="inlineStr">
        <is>
          <t>fmayer</t>
        </is>
      </c>
      <c r="D301" s="17" t="inlineStr">
        <is>
          <t>Empire Wars</t>
        </is>
      </c>
      <c r="E301" s="17" t="inlineStr">
        <is>
          <t>Console</t>
        </is>
      </c>
      <c r="F301" s="17" t="inlineStr">
        <is>
          <t>West</t>
        </is>
      </c>
      <c r="G301" s="18" t="n">
        <v>45750</v>
      </c>
      <c r="H301" s="17" t="n">
        <v>70</v>
      </c>
      <c r="I301" s="17" t="n">
        <v>0</v>
      </c>
      <c r="J301" s="17" t="inlineStr">
        <is>
          <t>No Purchase</t>
        </is>
      </c>
      <c r="K301" s="17" t="inlineStr">
        <is>
          <t>Completed</t>
        </is>
      </c>
      <c r="L301" s="17" t="inlineStr">
        <is>
          <t>Free</t>
        </is>
      </c>
      <c r="M301" s="17" t="n">
        <v>12</v>
      </c>
      <c r="N301" s="17" t="inlineStr">
        <is>
          <t>No</t>
        </is>
      </c>
      <c r="O301" s="17">
        <f>TEXT(G301,"yyyy-mm")</f>
        <v/>
      </c>
      <c r="P301" s="17">
        <f>IF(H301&lt;20,"Low",IF(H301&lt;=60,"Medium","High"))</f>
        <v/>
      </c>
      <c r="Q301" s="17">
        <f>IF(I301&gt;0,"Yes","No")</f>
        <v/>
      </c>
      <c r="R301" s="17">
        <f>IF(N301="Yes",1,0)</f>
        <v/>
      </c>
      <c r="S301" s="17">
        <f>IF(N301=IF(OR(H301&gt;150,I301&gt;40),"Yes","No"),"Match","Mismatch")</f>
        <v/>
      </c>
    </row>
    <row r="302">
      <c r="A302" s="17" t="inlineStr">
        <is>
          <t>S00101</t>
        </is>
      </c>
      <c r="B302" s="17" t="inlineStr">
        <is>
          <t>P6401</t>
        </is>
      </c>
      <c r="C302" s="17" t="inlineStr">
        <is>
          <t>chavezmelissa</t>
        </is>
      </c>
      <c r="D302" s="17" t="inlineStr">
        <is>
          <t>BattleZone</t>
        </is>
      </c>
      <c r="E302" s="17" t="inlineStr">
        <is>
          <t>Mobile</t>
        </is>
      </c>
      <c r="F302" s="17" t="inlineStr">
        <is>
          <t>North</t>
        </is>
      </c>
      <c r="G302" s="18" t="n">
        <v>45750</v>
      </c>
      <c r="H302" s="17" t="n">
        <v>34</v>
      </c>
      <c r="I302" s="17" t="n">
        <v>15.26</v>
      </c>
      <c r="J302" s="17" t="inlineStr">
        <is>
          <t>Skins</t>
        </is>
      </c>
      <c r="K302" s="17" t="inlineStr">
        <is>
          <t>Completed</t>
        </is>
      </c>
      <c r="L302" s="17" t="inlineStr">
        <is>
          <t>Paid</t>
        </is>
      </c>
      <c r="M302" s="17" t="n">
        <v>11</v>
      </c>
      <c r="N302" s="17" t="inlineStr">
        <is>
          <t>No</t>
        </is>
      </c>
      <c r="O302" s="17">
        <f>TEXT(G302,"yyyy-mm")</f>
        <v/>
      </c>
      <c r="P302" s="17">
        <f>IF(H302&lt;20,"Low",IF(H302&lt;=60,"Medium","High"))</f>
        <v/>
      </c>
      <c r="Q302" s="17">
        <f>IF(I302&gt;0,"Yes","No")</f>
        <v/>
      </c>
      <c r="R302" s="17">
        <f>IF(N302="Yes",1,0)</f>
        <v/>
      </c>
      <c r="S302" s="17">
        <f>IF(N302=IF(OR(H302&gt;150,I302&gt;40),"Yes","No"),"Match","Mismatch")</f>
        <v/>
      </c>
    </row>
    <row r="303">
      <c r="A303" s="17" t="inlineStr">
        <is>
          <t>S00036</t>
        </is>
      </c>
      <c r="B303" s="17" t="inlineStr">
        <is>
          <t>P4961</t>
        </is>
      </c>
      <c r="C303" s="17" t="inlineStr">
        <is>
          <t>sandyherman</t>
        </is>
      </c>
      <c r="D303" s="17" t="inlineStr">
        <is>
          <t>Empire Wars</t>
        </is>
      </c>
      <c r="E303" s="17" t="inlineStr">
        <is>
          <t>Mobile</t>
        </is>
      </c>
      <c r="F303" s="17" t="inlineStr">
        <is>
          <t>Central</t>
        </is>
      </c>
      <c r="G303" s="18" t="n">
        <v>45750</v>
      </c>
      <c r="H303" s="17" t="n">
        <v>86</v>
      </c>
      <c r="I303" s="17" t="n">
        <v>0</v>
      </c>
      <c r="J303" s="17" t="inlineStr">
        <is>
          <t>No Purchase</t>
        </is>
      </c>
      <c r="K303" s="17" t="inlineStr">
        <is>
          <t>Completed</t>
        </is>
      </c>
      <c r="L303" s="17" t="inlineStr">
        <is>
          <t>Free</t>
        </is>
      </c>
      <c r="M303" s="17" t="n">
        <v>47</v>
      </c>
      <c r="N303" s="17" t="inlineStr">
        <is>
          <t>No</t>
        </is>
      </c>
      <c r="O303" s="17">
        <f>TEXT(G303,"yyyy-mm")</f>
        <v/>
      </c>
      <c r="P303" s="17">
        <f>IF(H303&lt;20,"Low",IF(H303&lt;=60,"Medium","High"))</f>
        <v/>
      </c>
      <c r="Q303" s="17">
        <f>IF(I303&gt;0,"Yes","No")</f>
        <v/>
      </c>
      <c r="R303" s="17">
        <f>IF(N303="Yes",1,0)</f>
        <v/>
      </c>
      <c r="S303" s="17">
        <f>IF(N303=IF(OR(H303&gt;150,I303&gt;40),"Yes","No"),"Match","Mismatch")</f>
        <v/>
      </c>
    </row>
    <row r="304">
      <c r="A304" s="17" t="inlineStr">
        <is>
          <t>S00201</t>
        </is>
      </c>
      <c r="B304" s="17" t="inlineStr">
        <is>
          <t>P5966</t>
        </is>
      </c>
      <c r="C304" s="17" t="inlineStr">
        <is>
          <t>qcarrillo</t>
        </is>
      </c>
      <c r="D304" s="17" t="inlineStr">
        <is>
          <t>SpeedX</t>
        </is>
      </c>
      <c r="E304" s="17" t="inlineStr">
        <is>
          <t>Mobile</t>
        </is>
      </c>
      <c r="F304" s="17" t="inlineStr">
        <is>
          <t>West</t>
        </is>
      </c>
      <c r="G304" s="18" t="n">
        <v>45751</v>
      </c>
      <c r="H304" s="17" t="n">
        <v>7</v>
      </c>
      <c r="I304" s="17" t="n">
        <v>0</v>
      </c>
      <c r="J304" s="17" t="inlineStr">
        <is>
          <t>No Purchase</t>
        </is>
      </c>
      <c r="K304" s="17" t="inlineStr">
        <is>
          <t>Incomplete</t>
        </is>
      </c>
      <c r="L304" s="17" t="inlineStr">
        <is>
          <t>Free</t>
        </is>
      </c>
      <c r="M304" s="17" t="n">
        <v>22</v>
      </c>
      <c r="N304" s="17" t="inlineStr">
        <is>
          <t>No</t>
        </is>
      </c>
      <c r="O304" s="17">
        <f>TEXT(G304,"yyyy-mm")</f>
        <v/>
      </c>
      <c r="P304" s="17">
        <f>IF(H304&lt;20,"Low",IF(H304&lt;=60,"Medium","High"))</f>
        <v/>
      </c>
      <c r="Q304" s="17">
        <f>IF(I304&gt;0,"Yes","No")</f>
        <v/>
      </c>
      <c r="R304" s="17">
        <f>IF(N304="Yes",1,0)</f>
        <v/>
      </c>
      <c r="S304" s="17">
        <f>IF(N304=IF(OR(H304&gt;150,I304&gt;40),"Yes","No"),"Match","Mismatch")</f>
        <v/>
      </c>
    </row>
    <row r="305">
      <c r="A305" s="17" t="inlineStr">
        <is>
          <t>S00385</t>
        </is>
      </c>
      <c r="B305" s="17" t="inlineStr">
        <is>
          <t>P5442</t>
        </is>
      </c>
      <c r="C305" s="17" t="inlineStr">
        <is>
          <t>rsutton</t>
        </is>
      </c>
      <c r="D305" s="17" t="inlineStr">
        <is>
          <t>Clash of Realms</t>
        </is>
      </c>
      <c r="E305" s="17" t="inlineStr">
        <is>
          <t>PC</t>
        </is>
      </c>
      <c r="F305" s="17" t="inlineStr">
        <is>
          <t>North</t>
        </is>
      </c>
      <c r="G305" s="18" t="n">
        <v>45751</v>
      </c>
      <c r="H305" s="17" t="n">
        <v>13</v>
      </c>
      <c r="I305" s="17" t="n">
        <v>0</v>
      </c>
      <c r="J305" s="17" t="inlineStr">
        <is>
          <t>No Purchase</t>
        </is>
      </c>
      <c r="K305" s="17" t="inlineStr">
        <is>
          <t>Completed</t>
        </is>
      </c>
      <c r="L305" s="17" t="inlineStr">
        <is>
          <t>Free</t>
        </is>
      </c>
      <c r="M305" s="17" t="n">
        <v>13</v>
      </c>
      <c r="N305" s="17" t="inlineStr">
        <is>
          <t>No</t>
        </is>
      </c>
      <c r="O305" s="17">
        <f>TEXT(G305,"yyyy-mm")</f>
        <v/>
      </c>
      <c r="P305" s="17">
        <f>IF(H305&lt;20,"Low",IF(H305&lt;=60,"Medium","High"))</f>
        <v/>
      </c>
      <c r="Q305" s="17">
        <f>IF(I305&gt;0,"Yes","No")</f>
        <v/>
      </c>
      <c r="R305" s="17">
        <f>IF(N305="Yes",1,0)</f>
        <v/>
      </c>
      <c r="S305" s="17">
        <f>IF(N305=IF(OR(H305&gt;150,I305&gt;40),"Yes","No"),"Match","Mismatch")</f>
        <v/>
      </c>
    </row>
    <row r="306">
      <c r="A306" s="17" t="inlineStr">
        <is>
          <t>S00259</t>
        </is>
      </c>
      <c r="B306" s="17" t="inlineStr">
        <is>
          <t>P8750</t>
        </is>
      </c>
      <c r="C306" s="17" t="inlineStr">
        <is>
          <t>garciaisabel</t>
        </is>
      </c>
      <c r="D306" s="17" t="inlineStr">
        <is>
          <t>Empire Wars</t>
        </is>
      </c>
      <c r="E306" s="17" t="inlineStr">
        <is>
          <t>PC</t>
        </is>
      </c>
      <c r="F306" s="17" t="inlineStr">
        <is>
          <t>North</t>
        </is>
      </c>
      <c r="G306" s="18" t="n">
        <v>45753</v>
      </c>
      <c r="H306" s="17" t="n">
        <v>31</v>
      </c>
      <c r="I306" s="17" t="n">
        <v>0</v>
      </c>
      <c r="J306" s="17" t="inlineStr">
        <is>
          <t>No Purchase</t>
        </is>
      </c>
      <c r="K306" s="17" t="inlineStr">
        <is>
          <t>Completed</t>
        </is>
      </c>
      <c r="L306" s="17" t="inlineStr">
        <is>
          <t>Free</t>
        </is>
      </c>
      <c r="M306" s="17" t="n">
        <v>49</v>
      </c>
      <c r="N306" s="17" t="inlineStr">
        <is>
          <t>No</t>
        </is>
      </c>
      <c r="O306" s="17">
        <f>TEXT(G306,"yyyy-mm")</f>
        <v/>
      </c>
      <c r="P306" s="17">
        <f>IF(H306&lt;20,"Low",IF(H306&lt;=60,"Medium","High"))</f>
        <v/>
      </c>
      <c r="Q306" s="17">
        <f>IF(I306&gt;0,"Yes","No")</f>
        <v/>
      </c>
      <c r="R306" s="17">
        <f>IF(N306="Yes",1,0)</f>
        <v/>
      </c>
      <c r="S306" s="17">
        <f>IF(N306=IF(OR(H306&gt;150,I306&gt;40),"Yes","No"),"Match","Mismatch")</f>
        <v/>
      </c>
    </row>
    <row r="307">
      <c r="A307" s="17" t="inlineStr">
        <is>
          <t>S00399</t>
        </is>
      </c>
      <c r="B307" s="17" t="inlineStr">
        <is>
          <t>P6788</t>
        </is>
      </c>
      <c r="C307" s="17" t="inlineStr">
        <is>
          <t>dylanblack</t>
        </is>
      </c>
      <c r="D307" s="17" t="inlineStr">
        <is>
          <t>Zombie Rush</t>
        </is>
      </c>
      <c r="E307" s="17" t="inlineStr">
        <is>
          <t>Console</t>
        </is>
      </c>
      <c r="F307" s="17" t="inlineStr">
        <is>
          <t>East</t>
        </is>
      </c>
      <c r="G307" s="18" t="n">
        <v>45753</v>
      </c>
      <c r="H307" s="17" t="n">
        <v>145</v>
      </c>
      <c r="I307" s="17" t="n">
        <v>0</v>
      </c>
      <c r="J307" s="17" t="inlineStr">
        <is>
          <t>No Purchase</t>
        </is>
      </c>
      <c r="K307" s="17" t="inlineStr">
        <is>
          <t>Completed</t>
        </is>
      </c>
      <c r="L307" s="17" t="inlineStr">
        <is>
          <t>Free</t>
        </is>
      </c>
      <c r="M307" s="17" t="n">
        <v>43</v>
      </c>
      <c r="N307" s="17" t="inlineStr">
        <is>
          <t>No</t>
        </is>
      </c>
      <c r="O307" s="17">
        <f>TEXT(G307,"yyyy-mm")</f>
        <v/>
      </c>
      <c r="P307" s="17">
        <f>IF(H307&lt;20,"Low",IF(H307&lt;=60,"Medium","High"))</f>
        <v/>
      </c>
      <c r="Q307" s="17">
        <f>IF(I307&gt;0,"Yes","No")</f>
        <v/>
      </c>
      <c r="R307" s="17">
        <f>IF(N307="Yes",1,0)</f>
        <v/>
      </c>
      <c r="S307" s="17">
        <f>IF(N307=IF(OR(H307&gt;150,I307&gt;40),"Yes","No"),"Match","Mismatch")</f>
        <v/>
      </c>
    </row>
    <row r="308">
      <c r="A308" s="17" t="inlineStr">
        <is>
          <t>S00371</t>
        </is>
      </c>
      <c r="B308" s="17" t="inlineStr">
        <is>
          <t>P6086</t>
        </is>
      </c>
      <c r="C308" s="17" t="inlineStr">
        <is>
          <t>parkzachary</t>
        </is>
      </c>
      <c r="D308" s="17" t="inlineStr">
        <is>
          <t>Zombie Rush</t>
        </is>
      </c>
      <c r="E308" s="17" t="inlineStr">
        <is>
          <t>Mobile</t>
        </is>
      </c>
      <c r="F308" s="17" t="inlineStr">
        <is>
          <t>North</t>
        </is>
      </c>
      <c r="G308" s="18" t="n">
        <v>45754</v>
      </c>
      <c r="H308" s="17" t="n">
        <v>144</v>
      </c>
      <c r="I308" s="17" t="n">
        <v>29.52</v>
      </c>
      <c r="J308" s="17" t="inlineStr">
        <is>
          <t>Skins</t>
        </is>
      </c>
      <c r="K308" s="17" t="inlineStr">
        <is>
          <t>Exited Early</t>
        </is>
      </c>
      <c r="L308" s="17" t="inlineStr">
        <is>
          <t>Paid</t>
        </is>
      </c>
      <c r="M308" s="17" t="n">
        <v>36</v>
      </c>
      <c r="N308" s="17" t="inlineStr">
        <is>
          <t>No</t>
        </is>
      </c>
      <c r="O308" s="17">
        <f>TEXT(G308,"yyyy-mm")</f>
        <v/>
      </c>
      <c r="P308" s="17">
        <f>IF(H308&lt;20,"Low",IF(H308&lt;=60,"Medium","High"))</f>
        <v/>
      </c>
      <c r="Q308" s="17">
        <f>IF(I308&gt;0,"Yes","No")</f>
        <v/>
      </c>
      <c r="R308" s="17">
        <f>IF(N308="Yes",1,0)</f>
        <v/>
      </c>
      <c r="S308" s="17">
        <f>IF(N308=IF(OR(H308&gt;150,I308&gt;40),"Yes","No"),"Match","Mismatch")</f>
        <v/>
      </c>
    </row>
    <row r="309">
      <c r="A309" s="17" t="inlineStr">
        <is>
          <t>S00419</t>
        </is>
      </c>
      <c r="B309" s="17" t="inlineStr">
        <is>
          <t>P1065</t>
        </is>
      </c>
      <c r="C309" s="17" t="inlineStr">
        <is>
          <t>neilmorrison</t>
        </is>
      </c>
      <c r="D309" s="17" t="inlineStr">
        <is>
          <t>BattleZone</t>
        </is>
      </c>
      <c r="E309" s="17" t="inlineStr">
        <is>
          <t>Mobile</t>
        </is>
      </c>
      <c r="F309" s="17" t="inlineStr">
        <is>
          <t>Central</t>
        </is>
      </c>
      <c r="G309" s="18" t="n">
        <v>45755</v>
      </c>
      <c r="H309" s="17" t="n">
        <v>180</v>
      </c>
      <c r="I309" s="17" t="n">
        <v>0</v>
      </c>
      <c r="J309" s="17" t="inlineStr">
        <is>
          <t>No Purchase</t>
        </is>
      </c>
      <c r="K309" s="17" t="inlineStr">
        <is>
          <t>Completed</t>
        </is>
      </c>
      <c r="L309" s="17" t="inlineStr">
        <is>
          <t>Free</t>
        </is>
      </c>
      <c r="M309" s="17" t="n">
        <v>8</v>
      </c>
      <c r="N309" s="17" t="inlineStr">
        <is>
          <t>Yes</t>
        </is>
      </c>
      <c r="O309" s="17">
        <f>TEXT(G309,"yyyy-mm")</f>
        <v/>
      </c>
      <c r="P309" s="17">
        <f>IF(H309&lt;20,"Low",IF(H309&lt;=60,"Medium","High"))</f>
        <v/>
      </c>
      <c r="Q309" s="17">
        <f>IF(I309&gt;0,"Yes","No")</f>
        <v/>
      </c>
      <c r="R309" s="17">
        <f>IF(N309="Yes",1,0)</f>
        <v/>
      </c>
      <c r="S309" s="17">
        <f>IF(N309=IF(OR(H309&gt;150,I309&gt;40),"Yes","No"),"Match","Mismatch")</f>
        <v/>
      </c>
    </row>
    <row r="310">
      <c r="A310" s="17" t="inlineStr">
        <is>
          <t>S00448</t>
        </is>
      </c>
      <c r="B310" s="17" t="inlineStr">
        <is>
          <t>P1344</t>
        </is>
      </c>
      <c r="C310" s="17" t="inlineStr">
        <is>
          <t>keithunderwood</t>
        </is>
      </c>
      <c r="D310" s="17" t="inlineStr">
        <is>
          <t>Zombie Rush</t>
        </is>
      </c>
      <c r="E310" s="17" t="inlineStr">
        <is>
          <t>Console</t>
        </is>
      </c>
      <c r="F310" s="17" t="inlineStr">
        <is>
          <t>North</t>
        </is>
      </c>
      <c r="G310" s="18" t="n">
        <v>45755</v>
      </c>
      <c r="H310" s="17" t="n">
        <v>104</v>
      </c>
      <c r="I310" s="17" t="n">
        <v>9.94</v>
      </c>
      <c r="J310" s="17" t="inlineStr">
        <is>
          <t>Subscriptions</t>
        </is>
      </c>
      <c r="K310" s="17" t="inlineStr">
        <is>
          <t>Exited Early</t>
        </is>
      </c>
      <c r="L310" s="17" t="inlineStr">
        <is>
          <t>Paid</t>
        </is>
      </c>
      <c r="M310" s="17" t="n">
        <v>21</v>
      </c>
      <c r="N310" s="17" t="inlineStr">
        <is>
          <t>No</t>
        </is>
      </c>
      <c r="O310" s="17">
        <f>TEXT(G310,"yyyy-mm")</f>
        <v/>
      </c>
      <c r="P310" s="17">
        <f>IF(H310&lt;20,"Low",IF(H310&lt;=60,"Medium","High"))</f>
        <v/>
      </c>
      <c r="Q310" s="17">
        <f>IF(I310&gt;0,"Yes","No")</f>
        <v/>
      </c>
      <c r="R310" s="17">
        <f>IF(N310="Yes",1,0)</f>
        <v/>
      </c>
      <c r="S310" s="17">
        <f>IF(N310=IF(OR(H310&gt;150,I310&gt;40),"Yes","No"),"Match","Mismatch")</f>
        <v/>
      </c>
    </row>
    <row r="311">
      <c r="A311" s="17" t="inlineStr">
        <is>
          <t>S00343</t>
        </is>
      </c>
      <c r="B311" s="17" t="inlineStr">
        <is>
          <t>P6916</t>
        </is>
      </c>
      <c r="C311" s="17" t="inlineStr">
        <is>
          <t>amber18</t>
        </is>
      </c>
      <c r="D311" s="17" t="inlineStr">
        <is>
          <t>Empire Wars</t>
        </is>
      </c>
      <c r="E311" s="17" t="inlineStr">
        <is>
          <t>PC</t>
        </is>
      </c>
      <c r="F311" s="17" t="inlineStr">
        <is>
          <t>East</t>
        </is>
      </c>
      <c r="G311" s="18" t="n">
        <v>45756</v>
      </c>
      <c r="H311" s="17" t="n">
        <v>42</v>
      </c>
      <c r="I311" s="17" t="n">
        <v>0</v>
      </c>
      <c r="J311" s="17" t="inlineStr">
        <is>
          <t>No Purchase</t>
        </is>
      </c>
      <c r="K311" s="17" t="inlineStr">
        <is>
          <t>Completed</t>
        </is>
      </c>
      <c r="L311" s="17" t="inlineStr">
        <is>
          <t>Paid</t>
        </is>
      </c>
      <c r="M311" s="17" t="n">
        <v>12</v>
      </c>
      <c r="N311" s="17" t="inlineStr">
        <is>
          <t>No</t>
        </is>
      </c>
      <c r="O311" s="17">
        <f>TEXT(G311,"yyyy-mm")</f>
        <v/>
      </c>
      <c r="P311" s="17">
        <f>IF(H311&lt;20,"Low",IF(H311&lt;=60,"Medium","High"))</f>
        <v/>
      </c>
      <c r="Q311" s="17">
        <f>IF(I311&gt;0,"Yes","No")</f>
        <v/>
      </c>
      <c r="R311" s="17">
        <f>IF(N311="Yes",1,0)</f>
        <v/>
      </c>
      <c r="S311" s="17">
        <f>IF(N311=IF(OR(H311&gt;150,I311&gt;40),"Yes","No"),"Match","Mismatch")</f>
        <v/>
      </c>
    </row>
    <row r="312">
      <c r="A312" s="17" t="inlineStr">
        <is>
          <t>S00058</t>
        </is>
      </c>
      <c r="B312" s="17" t="inlineStr">
        <is>
          <t>P9514</t>
        </is>
      </c>
      <c r="C312" s="17" t="inlineStr">
        <is>
          <t>dianaburgess</t>
        </is>
      </c>
      <c r="D312" s="17" t="inlineStr">
        <is>
          <t>Zombie Rush</t>
        </is>
      </c>
      <c r="E312" s="17" t="inlineStr">
        <is>
          <t>Mobile</t>
        </is>
      </c>
      <c r="F312" s="17" t="inlineStr">
        <is>
          <t>East</t>
        </is>
      </c>
      <c r="G312" s="18" t="n">
        <v>45756</v>
      </c>
      <c r="H312" s="17" t="n">
        <v>19</v>
      </c>
      <c r="I312" s="17" t="n">
        <v>44.21</v>
      </c>
      <c r="J312" s="17" t="inlineStr">
        <is>
          <t>Battle Pass</t>
        </is>
      </c>
      <c r="K312" s="17" t="inlineStr">
        <is>
          <t>Completed</t>
        </is>
      </c>
      <c r="L312" s="17" t="inlineStr">
        <is>
          <t>Paid</t>
        </is>
      </c>
      <c r="M312" s="17" t="n">
        <v>24</v>
      </c>
      <c r="N312" s="17" t="inlineStr">
        <is>
          <t>Yes</t>
        </is>
      </c>
      <c r="O312" s="17">
        <f>TEXT(G312,"yyyy-mm")</f>
        <v/>
      </c>
      <c r="P312" s="17">
        <f>IF(H312&lt;20,"Low",IF(H312&lt;=60,"Medium","High"))</f>
        <v/>
      </c>
      <c r="Q312" s="17">
        <f>IF(I312&gt;0,"Yes","No")</f>
        <v/>
      </c>
      <c r="R312" s="17">
        <f>IF(N312="Yes",1,0)</f>
        <v/>
      </c>
      <c r="S312" s="17">
        <f>IF(N312=IF(OR(H312&gt;150,I312&gt;40),"Yes","No"),"Match","Mismatch")</f>
        <v/>
      </c>
    </row>
    <row r="313">
      <c r="A313" s="17" t="inlineStr">
        <is>
          <t>S00011</t>
        </is>
      </c>
      <c r="B313" s="17" t="inlineStr">
        <is>
          <t>P1038</t>
        </is>
      </c>
      <c r="C313" s="17" t="inlineStr">
        <is>
          <t>alexandriaparrish</t>
        </is>
      </c>
      <c r="D313" s="17" t="inlineStr">
        <is>
          <t>SpeedX</t>
        </is>
      </c>
      <c r="E313" s="17" t="inlineStr">
        <is>
          <t>Console</t>
        </is>
      </c>
      <c r="F313" s="17" t="inlineStr">
        <is>
          <t>North</t>
        </is>
      </c>
      <c r="G313" s="18" t="n">
        <v>45756</v>
      </c>
      <c r="H313" s="17" t="n">
        <v>26</v>
      </c>
      <c r="I313" s="17" t="n">
        <v>0</v>
      </c>
      <c r="J313" s="17" t="inlineStr">
        <is>
          <t>No Purchase</t>
        </is>
      </c>
      <c r="K313" s="17" t="inlineStr">
        <is>
          <t>Crashed</t>
        </is>
      </c>
      <c r="L313" s="17" t="inlineStr">
        <is>
          <t>Free</t>
        </is>
      </c>
      <c r="M313" s="17" t="n">
        <v>27</v>
      </c>
      <c r="N313" s="17" t="inlineStr">
        <is>
          <t>No</t>
        </is>
      </c>
      <c r="O313" s="17">
        <f>TEXT(G313,"yyyy-mm")</f>
        <v/>
      </c>
      <c r="P313" s="17">
        <f>IF(H313&lt;20,"Low",IF(H313&lt;=60,"Medium","High"))</f>
        <v/>
      </c>
      <c r="Q313" s="17">
        <f>IF(I313&gt;0,"Yes","No")</f>
        <v/>
      </c>
      <c r="R313" s="17">
        <f>IF(N313="Yes",1,0)</f>
        <v/>
      </c>
      <c r="S313" s="17">
        <f>IF(N313=IF(OR(H313&gt;150,I313&gt;40),"Yes","No"),"Match","Mismatch")</f>
        <v/>
      </c>
    </row>
    <row r="314">
      <c r="A314" s="17" t="inlineStr">
        <is>
          <t>S00085</t>
        </is>
      </c>
      <c r="B314" s="17" t="inlineStr">
        <is>
          <t>P2977</t>
        </is>
      </c>
      <c r="C314" s="17" t="inlineStr">
        <is>
          <t>mark79</t>
        </is>
      </c>
      <c r="D314" s="17" t="inlineStr">
        <is>
          <t>Empire Wars</t>
        </is>
      </c>
      <c r="E314" s="17" t="inlineStr">
        <is>
          <t>Console</t>
        </is>
      </c>
      <c r="F314" s="17" t="inlineStr">
        <is>
          <t>East</t>
        </is>
      </c>
      <c r="G314" s="18" t="n">
        <v>45756</v>
      </c>
      <c r="H314" s="17" t="n">
        <v>43</v>
      </c>
      <c r="I314" s="17" t="n">
        <v>0</v>
      </c>
      <c r="J314" s="17" t="inlineStr">
        <is>
          <t>No Purchase</t>
        </is>
      </c>
      <c r="K314" s="17" t="inlineStr">
        <is>
          <t>Completed</t>
        </is>
      </c>
      <c r="L314" s="17" t="inlineStr">
        <is>
          <t>Free</t>
        </is>
      </c>
      <c r="M314" s="17" t="n">
        <v>20</v>
      </c>
      <c r="N314" s="17" t="inlineStr">
        <is>
          <t>No</t>
        </is>
      </c>
      <c r="O314" s="17">
        <f>TEXT(G314,"yyyy-mm")</f>
        <v/>
      </c>
      <c r="P314" s="17">
        <f>IF(H314&lt;20,"Low",IF(H314&lt;=60,"Medium","High"))</f>
        <v/>
      </c>
      <c r="Q314" s="17">
        <f>IF(I314&gt;0,"Yes","No")</f>
        <v/>
      </c>
      <c r="R314" s="17">
        <f>IF(N314="Yes",1,0)</f>
        <v/>
      </c>
      <c r="S314" s="17">
        <f>IF(N314=IF(OR(H314&gt;150,I314&gt;40),"Yes","No"),"Match","Mismatch")</f>
        <v/>
      </c>
    </row>
    <row r="315">
      <c r="A315" s="17" t="inlineStr">
        <is>
          <t>S00171</t>
        </is>
      </c>
      <c r="B315" s="17" t="inlineStr">
        <is>
          <t>P4426</t>
        </is>
      </c>
      <c r="C315" s="17" t="inlineStr">
        <is>
          <t>joe22</t>
        </is>
      </c>
      <c r="D315" s="17" t="inlineStr">
        <is>
          <t>Clash of Realms</t>
        </is>
      </c>
      <c r="E315" s="17" t="inlineStr">
        <is>
          <t>Console</t>
        </is>
      </c>
      <c r="F315" s="17" t="inlineStr">
        <is>
          <t>North-East</t>
        </is>
      </c>
      <c r="G315" s="18" t="n">
        <v>45756</v>
      </c>
      <c r="H315" s="17" t="n">
        <v>123</v>
      </c>
      <c r="I315" s="17" t="n">
        <v>0</v>
      </c>
      <c r="J315" s="17" t="inlineStr">
        <is>
          <t>No Purchase</t>
        </is>
      </c>
      <c r="K315" s="17" t="inlineStr">
        <is>
          <t>Crashed</t>
        </is>
      </c>
      <c r="L315" s="17" t="inlineStr">
        <is>
          <t>Paid</t>
        </is>
      </c>
      <c r="M315" s="17" t="n">
        <v>47</v>
      </c>
      <c r="N315" s="17" t="inlineStr">
        <is>
          <t>No</t>
        </is>
      </c>
      <c r="O315" s="17">
        <f>TEXT(G315,"yyyy-mm")</f>
        <v/>
      </c>
      <c r="P315" s="17">
        <f>IF(H315&lt;20,"Low",IF(H315&lt;=60,"Medium","High"))</f>
        <v/>
      </c>
      <c r="Q315" s="17">
        <f>IF(I315&gt;0,"Yes","No")</f>
        <v/>
      </c>
      <c r="R315" s="17">
        <f>IF(N315="Yes",1,0)</f>
        <v/>
      </c>
      <c r="S315" s="17">
        <f>IF(N315=IF(OR(H315&gt;150,I315&gt;40),"Yes","No"),"Match","Mismatch")</f>
        <v/>
      </c>
    </row>
    <row r="316">
      <c r="A316" s="17" t="inlineStr">
        <is>
          <t>S00223</t>
        </is>
      </c>
      <c r="B316" s="17" t="inlineStr">
        <is>
          <t>P8292</t>
        </is>
      </c>
      <c r="C316" s="17" t="inlineStr">
        <is>
          <t>kellyrichardson</t>
        </is>
      </c>
      <c r="D316" s="17" t="inlineStr">
        <is>
          <t>SpeedX</t>
        </is>
      </c>
      <c r="E316" s="17" t="inlineStr">
        <is>
          <t>PC</t>
        </is>
      </c>
      <c r="F316" s="17" t="inlineStr">
        <is>
          <t>East</t>
        </is>
      </c>
      <c r="G316" s="18" t="n">
        <v>45756</v>
      </c>
      <c r="H316" s="17" t="n">
        <v>92</v>
      </c>
      <c r="I316" s="17" t="n">
        <v>0</v>
      </c>
      <c r="J316" s="17" t="inlineStr">
        <is>
          <t>No Purchase</t>
        </is>
      </c>
      <c r="K316" s="17" t="inlineStr">
        <is>
          <t>Completed</t>
        </is>
      </c>
      <c r="L316" s="17" t="inlineStr">
        <is>
          <t>Free</t>
        </is>
      </c>
      <c r="M316" s="17" t="n">
        <v>11</v>
      </c>
      <c r="N316" s="17" t="inlineStr">
        <is>
          <t>No</t>
        </is>
      </c>
      <c r="O316" s="17">
        <f>TEXT(G316,"yyyy-mm")</f>
        <v/>
      </c>
      <c r="P316" s="17">
        <f>IF(H316&lt;20,"Low",IF(H316&lt;=60,"Medium","High"))</f>
        <v/>
      </c>
      <c r="Q316" s="17">
        <f>IF(I316&gt;0,"Yes","No")</f>
        <v/>
      </c>
      <c r="R316" s="17">
        <f>IF(N316="Yes",1,0)</f>
        <v/>
      </c>
      <c r="S316" s="17">
        <f>IF(N316=IF(OR(H316&gt;150,I316&gt;40),"Yes","No"),"Match","Mismatch")</f>
        <v/>
      </c>
    </row>
    <row r="317">
      <c r="A317" s="17" t="inlineStr">
        <is>
          <t>S00156</t>
        </is>
      </c>
      <c r="B317" s="17" t="inlineStr">
        <is>
          <t>P2755</t>
        </is>
      </c>
      <c r="C317" s="17" t="inlineStr">
        <is>
          <t>ivan06</t>
        </is>
      </c>
      <c r="D317" s="17" t="inlineStr">
        <is>
          <t>Clash of Realms</t>
        </is>
      </c>
      <c r="E317" s="17" t="inlineStr">
        <is>
          <t>Mobile</t>
        </is>
      </c>
      <c r="F317" s="17" t="inlineStr">
        <is>
          <t>North</t>
        </is>
      </c>
      <c r="G317" s="18" t="n">
        <v>45756</v>
      </c>
      <c r="H317" s="17" t="n">
        <v>55</v>
      </c>
      <c r="I317" s="17" t="n">
        <v>0</v>
      </c>
      <c r="J317" s="17" t="inlineStr">
        <is>
          <t>No Purchase</t>
        </is>
      </c>
      <c r="K317" s="17" t="inlineStr">
        <is>
          <t>Completed</t>
        </is>
      </c>
      <c r="L317" s="17" t="inlineStr">
        <is>
          <t>Free</t>
        </is>
      </c>
      <c r="M317" s="17" t="n">
        <v>29</v>
      </c>
      <c r="N317" s="17" t="inlineStr">
        <is>
          <t>No</t>
        </is>
      </c>
      <c r="O317" s="17">
        <f>TEXT(G317,"yyyy-mm")</f>
        <v/>
      </c>
      <c r="P317" s="17">
        <f>IF(H317&lt;20,"Low",IF(H317&lt;=60,"Medium","High"))</f>
        <v/>
      </c>
      <c r="Q317" s="17">
        <f>IF(I317&gt;0,"Yes","No")</f>
        <v/>
      </c>
      <c r="R317" s="17">
        <f>IF(N317="Yes",1,0)</f>
        <v/>
      </c>
      <c r="S317" s="17">
        <f>IF(N317=IF(OR(H317&gt;150,I317&gt;40),"Yes","No"),"Match","Mismatch")</f>
        <v/>
      </c>
    </row>
    <row r="318">
      <c r="A318" s="17" t="inlineStr">
        <is>
          <t>S00233</t>
        </is>
      </c>
      <c r="B318" s="17" t="inlineStr">
        <is>
          <t>P8315</t>
        </is>
      </c>
      <c r="C318" s="17" t="inlineStr">
        <is>
          <t>zmartin</t>
        </is>
      </c>
      <c r="D318" s="17" t="inlineStr">
        <is>
          <t>SpeedX</t>
        </is>
      </c>
      <c r="E318" s="17" t="inlineStr">
        <is>
          <t>PC</t>
        </is>
      </c>
      <c r="F318" s="17" t="inlineStr">
        <is>
          <t>North-East</t>
        </is>
      </c>
      <c r="G318" s="18" t="n">
        <v>45757</v>
      </c>
      <c r="H318" s="17" t="n">
        <v>55</v>
      </c>
      <c r="I318" s="17" t="n">
        <v>0</v>
      </c>
      <c r="J318" s="17" t="inlineStr">
        <is>
          <t>No Purchase</t>
        </is>
      </c>
      <c r="K318" s="17" t="inlineStr">
        <is>
          <t>Completed</t>
        </is>
      </c>
      <c r="L318" s="17" t="inlineStr">
        <is>
          <t>Free</t>
        </is>
      </c>
      <c r="M318" s="17" t="n">
        <v>20</v>
      </c>
      <c r="N318" s="17" t="inlineStr">
        <is>
          <t>No</t>
        </is>
      </c>
      <c r="O318" s="17">
        <f>TEXT(G318,"yyyy-mm")</f>
        <v/>
      </c>
      <c r="P318" s="17">
        <f>IF(H318&lt;20,"Low",IF(H318&lt;=60,"Medium","High"))</f>
        <v/>
      </c>
      <c r="Q318" s="17">
        <f>IF(I318&gt;0,"Yes","No")</f>
        <v/>
      </c>
      <c r="R318" s="17">
        <f>IF(N318="Yes",1,0)</f>
        <v/>
      </c>
      <c r="S318" s="17">
        <f>IF(N318=IF(OR(H318&gt;150,I318&gt;40),"Yes","No"),"Match","Mismatch")</f>
        <v/>
      </c>
    </row>
    <row r="319">
      <c r="A319" s="17" t="inlineStr">
        <is>
          <t>S00262</t>
        </is>
      </c>
      <c r="B319" s="17" t="inlineStr">
        <is>
          <t>P3905</t>
        </is>
      </c>
      <c r="C319" s="17" t="inlineStr">
        <is>
          <t>stephen73</t>
        </is>
      </c>
      <c r="D319" s="17" t="inlineStr">
        <is>
          <t>Empire Wars</t>
        </is>
      </c>
      <c r="E319" s="17" t="inlineStr">
        <is>
          <t>PC</t>
        </is>
      </c>
      <c r="F319" s="17" t="inlineStr">
        <is>
          <t>North</t>
        </is>
      </c>
      <c r="G319" s="18" t="n">
        <v>45758</v>
      </c>
      <c r="H319" s="17" t="n">
        <v>6</v>
      </c>
      <c r="I319" s="17" t="n">
        <v>0</v>
      </c>
      <c r="J319" s="17" t="inlineStr">
        <is>
          <t>No Purchase</t>
        </is>
      </c>
      <c r="K319" s="17" t="inlineStr">
        <is>
          <t>Completed</t>
        </is>
      </c>
      <c r="L319" s="17" t="inlineStr">
        <is>
          <t>Free</t>
        </is>
      </c>
      <c r="M319" s="17" t="n">
        <v>7</v>
      </c>
      <c r="N319" s="17" t="inlineStr">
        <is>
          <t>No</t>
        </is>
      </c>
      <c r="O319" s="17">
        <f>TEXT(G319,"yyyy-mm")</f>
        <v/>
      </c>
      <c r="P319" s="17">
        <f>IF(H319&lt;20,"Low",IF(H319&lt;=60,"Medium","High"))</f>
        <v/>
      </c>
      <c r="Q319" s="17">
        <f>IF(I319&gt;0,"Yes","No")</f>
        <v/>
      </c>
      <c r="R319" s="17">
        <f>IF(N319="Yes",1,0)</f>
        <v/>
      </c>
      <c r="S319" s="17">
        <f>IF(N319=IF(OR(H319&gt;150,I319&gt;40),"Yes","No"),"Match","Mismatch")</f>
        <v/>
      </c>
    </row>
    <row r="320">
      <c r="A320" s="17" t="inlineStr">
        <is>
          <t>S00256</t>
        </is>
      </c>
      <c r="B320" s="17" t="inlineStr">
        <is>
          <t>P7433</t>
        </is>
      </c>
      <c r="C320" s="17" t="inlineStr">
        <is>
          <t>wsanders</t>
        </is>
      </c>
      <c r="D320" s="17" t="inlineStr">
        <is>
          <t>Empire Wars</t>
        </is>
      </c>
      <c r="E320" s="17" t="inlineStr">
        <is>
          <t>Console</t>
        </is>
      </c>
      <c r="F320" s="17" t="inlineStr">
        <is>
          <t>West</t>
        </is>
      </c>
      <c r="G320" s="18" t="n">
        <v>45758</v>
      </c>
      <c r="H320" s="17" t="n">
        <v>51</v>
      </c>
      <c r="I320" s="17" t="n">
        <v>0</v>
      </c>
      <c r="J320" s="17" t="inlineStr">
        <is>
          <t>No Purchase</t>
        </is>
      </c>
      <c r="K320" s="17" t="inlineStr">
        <is>
          <t>Completed</t>
        </is>
      </c>
      <c r="L320" s="17" t="inlineStr">
        <is>
          <t>Free</t>
        </is>
      </c>
      <c r="M320" s="17" t="n">
        <v>30</v>
      </c>
      <c r="N320" s="17" t="inlineStr">
        <is>
          <t>No</t>
        </is>
      </c>
      <c r="O320" s="17">
        <f>TEXT(G320,"yyyy-mm")</f>
        <v/>
      </c>
      <c r="P320" s="17">
        <f>IF(H320&lt;20,"Low",IF(H320&lt;=60,"Medium","High"))</f>
        <v/>
      </c>
      <c r="Q320" s="17">
        <f>IF(I320&gt;0,"Yes","No")</f>
        <v/>
      </c>
      <c r="R320" s="17">
        <f>IF(N320="Yes",1,0)</f>
        <v/>
      </c>
      <c r="S320" s="17">
        <f>IF(N320=IF(OR(H320&gt;150,I320&gt;40),"Yes","No"),"Match","Mismatch")</f>
        <v/>
      </c>
    </row>
    <row r="321">
      <c r="A321" s="17" t="inlineStr">
        <is>
          <t>S00053</t>
        </is>
      </c>
      <c r="B321" s="17" t="inlineStr">
        <is>
          <t>P9579</t>
        </is>
      </c>
      <c r="C321" s="17" t="inlineStr">
        <is>
          <t>richardsjessica</t>
        </is>
      </c>
      <c r="D321" s="17" t="inlineStr">
        <is>
          <t>SpeedX</t>
        </is>
      </c>
      <c r="E321" s="17" t="inlineStr">
        <is>
          <t>Console</t>
        </is>
      </c>
      <c r="F321" s="17" t="inlineStr">
        <is>
          <t>West</t>
        </is>
      </c>
      <c r="G321" s="18" t="n">
        <v>45758</v>
      </c>
      <c r="H321" s="17" t="n">
        <v>38</v>
      </c>
      <c r="I321" s="17" t="n">
        <v>0</v>
      </c>
      <c r="J321" s="17" t="inlineStr">
        <is>
          <t>No Purchase</t>
        </is>
      </c>
      <c r="K321" s="17" t="inlineStr">
        <is>
          <t>Completed</t>
        </is>
      </c>
      <c r="L321" s="17" t="inlineStr">
        <is>
          <t>Free</t>
        </is>
      </c>
      <c r="M321" s="17" t="n">
        <v>34</v>
      </c>
      <c r="N321" s="17" t="inlineStr">
        <is>
          <t>No</t>
        </is>
      </c>
      <c r="O321" s="17">
        <f>TEXT(G321,"yyyy-mm")</f>
        <v/>
      </c>
      <c r="P321" s="17">
        <f>IF(H321&lt;20,"Low",IF(H321&lt;=60,"Medium","High"))</f>
        <v/>
      </c>
      <c r="Q321" s="17">
        <f>IF(I321&gt;0,"Yes","No")</f>
        <v/>
      </c>
      <c r="R321" s="17">
        <f>IF(N321="Yes",1,0)</f>
        <v/>
      </c>
      <c r="S321" s="17">
        <f>IF(N321=IF(OR(H321&gt;150,I321&gt;40),"Yes","No"),"Match","Mismatch")</f>
        <v/>
      </c>
    </row>
    <row r="322">
      <c r="A322" s="17" t="inlineStr">
        <is>
          <t>S00271</t>
        </is>
      </c>
      <c r="B322" s="17" t="inlineStr">
        <is>
          <t>P7072</t>
        </is>
      </c>
      <c r="C322" s="17" t="inlineStr">
        <is>
          <t>matthew23</t>
        </is>
      </c>
      <c r="D322" s="17" t="inlineStr">
        <is>
          <t>Zombie Rush</t>
        </is>
      </c>
      <c r="E322" s="17" t="inlineStr">
        <is>
          <t>Console</t>
        </is>
      </c>
      <c r="F322" s="17" t="inlineStr">
        <is>
          <t>North</t>
        </is>
      </c>
      <c r="G322" s="18" t="n">
        <v>45758</v>
      </c>
      <c r="H322" s="17" t="n">
        <v>166</v>
      </c>
      <c r="I322" s="17" t="n">
        <v>47.72</v>
      </c>
      <c r="J322" s="17" t="inlineStr">
        <is>
          <t>Skins</t>
        </is>
      </c>
      <c r="K322" s="17" t="inlineStr">
        <is>
          <t>Completed</t>
        </is>
      </c>
      <c r="L322" s="17" t="inlineStr">
        <is>
          <t>Paid</t>
        </is>
      </c>
      <c r="M322" s="17" t="n">
        <v>40</v>
      </c>
      <c r="N322" s="17" t="inlineStr">
        <is>
          <t>Yes</t>
        </is>
      </c>
      <c r="O322" s="17">
        <f>TEXT(G322,"yyyy-mm")</f>
        <v/>
      </c>
      <c r="P322" s="17">
        <f>IF(H322&lt;20,"Low",IF(H322&lt;=60,"Medium","High"))</f>
        <v/>
      </c>
      <c r="Q322" s="17">
        <f>IF(I322&gt;0,"Yes","No")</f>
        <v/>
      </c>
      <c r="R322" s="17">
        <f>IF(N322="Yes",1,0)</f>
        <v/>
      </c>
      <c r="S322" s="17">
        <f>IF(N322=IF(OR(H322&gt;150,I322&gt;40),"Yes","No"),"Match","Mismatch")</f>
        <v/>
      </c>
    </row>
    <row r="323">
      <c r="A323" s="17" t="inlineStr">
        <is>
          <t>S00449</t>
        </is>
      </c>
      <c r="B323" s="17" t="inlineStr">
        <is>
          <t>P5705</t>
        </is>
      </c>
      <c r="C323" s="17" t="inlineStr">
        <is>
          <t>hernandezcatherine</t>
        </is>
      </c>
      <c r="D323" s="17" t="inlineStr">
        <is>
          <t>BattleZone</t>
        </is>
      </c>
      <c r="E323" s="17" t="inlineStr">
        <is>
          <t>Console</t>
        </is>
      </c>
      <c r="F323" s="17" t="inlineStr">
        <is>
          <t>North</t>
        </is>
      </c>
      <c r="G323" s="18" t="n">
        <v>45758</v>
      </c>
      <c r="H323" s="17" t="n">
        <v>108</v>
      </c>
      <c r="I323" s="17" t="n">
        <v>0</v>
      </c>
      <c r="J323" s="17" t="inlineStr">
        <is>
          <t>No Purchase</t>
        </is>
      </c>
      <c r="K323" s="17" t="inlineStr">
        <is>
          <t>Crashed</t>
        </is>
      </c>
      <c r="L323" s="17" t="inlineStr">
        <is>
          <t>Free</t>
        </is>
      </c>
      <c r="M323" s="17" t="n">
        <v>22</v>
      </c>
      <c r="N323" s="17" t="inlineStr">
        <is>
          <t>No</t>
        </is>
      </c>
      <c r="O323" s="17">
        <f>TEXT(G323,"yyyy-mm")</f>
        <v/>
      </c>
      <c r="P323" s="17">
        <f>IF(H323&lt;20,"Low",IF(H323&lt;=60,"Medium","High"))</f>
        <v/>
      </c>
      <c r="Q323" s="17">
        <f>IF(I323&gt;0,"Yes","No")</f>
        <v/>
      </c>
      <c r="R323" s="17">
        <f>IF(N323="Yes",1,0)</f>
        <v/>
      </c>
      <c r="S323" s="17">
        <f>IF(N323=IF(OR(H323&gt;150,I323&gt;40),"Yes","No"),"Match","Mismatch")</f>
        <v/>
      </c>
    </row>
    <row r="324">
      <c r="A324" s="17" t="inlineStr">
        <is>
          <t>S00203</t>
        </is>
      </c>
      <c r="B324" s="17" t="inlineStr">
        <is>
          <t>P5877</t>
        </is>
      </c>
      <c r="C324" s="17" t="inlineStr">
        <is>
          <t>jperkins</t>
        </is>
      </c>
      <c r="D324" s="17" t="inlineStr">
        <is>
          <t>Zombie Rush</t>
        </is>
      </c>
      <c r="E324" s="17" t="inlineStr">
        <is>
          <t>PC</t>
        </is>
      </c>
      <c r="F324" s="17" t="inlineStr">
        <is>
          <t>North</t>
        </is>
      </c>
      <c r="G324" s="18" t="n">
        <v>45758</v>
      </c>
      <c r="H324" s="17" t="n">
        <v>111</v>
      </c>
      <c r="I324" s="17" t="n">
        <v>0</v>
      </c>
      <c r="J324" s="17" t="inlineStr">
        <is>
          <t>No Purchase</t>
        </is>
      </c>
      <c r="K324" s="17" t="inlineStr">
        <is>
          <t>Completed</t>
        </is>
      </c>
      <c r="L324" s="17" t="inlineStr">
        <is>
          <t>Free</t>
        </is>
      </c>
      <c r="M324" s="17" t="n">
        <v>39</v>
      </c>
      <c r="N324" s="17" t="inlineStr">
        <is>
          <t>No</t>
        </is>
      </c>
      <c r="O324" s="17">
        <f>TEXT(G324,"yyyy-mm")</f>
        <v/>
      </c>
      <c r="P324" s="17">
        <f>IF(H324&lt;20,"Low",IF(H324&lt;=60,"Medium","High"))</f>
        <v/>
      </c>
      <c r="Q324" s="17">
        <f>IF(I324&gt;0,"Yes","No")</f>
        <v/>
      </c>
      <c r="R324" s="17">
        <f>IF(N324="Yes",1,0)</f>
        <v/>
      </c>
      <c r="S324" s="17">
        <f>IF(N324=IF(OR(H324&gt;150,I324&gt;40),"Yes","No"),"Match","Mismatch")</f>
        <v/>
      </c>
    </row>
    <row r="325">
      <c r="A325" s="17" t="inlineStr">
        <is>
          <t>S00236</t>
        </is>
      </c>
      <c r="B325" s="17" t="inlineStr">
        <is>
          <t>P5794</t>
        </is>
      </c>
      <c r="C325" s="17" t="inlineStr">
        <is>
          <t>rodriguezkathleen</t>
        </is>
      </c>
      <c r="D325" s="17" t="inlineStr">
        <is>
          <t>SpeedX</t>
        </is>
      </c>
      <c r="E325" s="17" t="inlineStr">
        <is>
          <t>PC</t>
        </is>
      </c>
      <c r="F325" s="17" t="inlineStr">
        <is>
          <t>North-East</t>
        </is>
      </c>
      <c r="G325" s="18" t="n">
        <v>45759</v>
      </c>
      <c r="H325" s="17" t="n">
        <v>59</v>
      </c>
      <c r="I325" s="17" t="n">
        <v>0</v>
      </c>
      <c r="J325" s="17" t="inlineStr">
        <is>
          <t>No Purchase</t>
        </is>
      </c>
      <c r="K325" s="17" t="inlineStr">
        <is>
          <t>Crashed</t>
        </is>
      </c>
      <c r="L325" s="17" t="inlineStr">
        <is>
          <t>Free</t>
        </is>
      </c>
      <c r="M325" s="17" t="n">
        <v>5</v>
      </c>
      <c r="N325" s="17" t="inlineStr">
        <is>
          <t>No</t>
        </is>
      </c>
      <c r="O325" s="17">
        <f>TEXT(G325,"yyyy-mm")</f>
        <v/>
      </c>
      <c r="P325" s="17">
        <f>IF(H325&lt;20,"Low",IF(H325&lt;=60,"Medium","High"))</f>
        <v/>
      </c>
      <c r="Q325" s="17">
        <f>IF(I325&gt;0,"Yes","No")</f>
        <v/>
      </c>
      <c r="R325" s="17">
        <f>IF(N325="Yes",1,0)</f>
        <v/>
      </c>
      <c r="S325" s="17">
        <f>IF(N325=IF(OR(H325&gt;150,I325&gt;40),"Yes","No"),"Match","Mismatch")</f>
        <v/>
      </c>
    </row>
    <row r="326">
      <c r="A326" s="17" t="inlineStr">
        <is>
          <t>S00140</t>
        </is>
      </c>
      <c r="B326" s="17" t="inlineStr">
        <is>
          <t>P4842</t>
        </is>
      </c>
      <c r="C326" s="17" t="inlineStr">
        <is>
          <t>deckeramanda</t>
        </is>
      </c>
      <c r="D326" s="17" t="inlineStr">
        <is>
          <t>SpeedX</t>
        </is>
      </c>
      <c r="E326" s="17" t="inlineStr">
        <is>
          <t>Console</t>
        </is>
      </c>
      <c r="F326" s="17" t="inlineStr">
        <is>
          <t>West</t>
        </is>
      </c>
      <c r="G326" s="18" t="n">
        <v>45759</v>
      </c>
      <c r="H326" s="17" t="n">
        <v>145</v>
      </c>
      <c r="I326" s="17" t="n">
        <v>0</v>
      </c>
      <c r="J326" s="17" t="inlineStr">
        <is>
          <t>No Purchase</t>
        </is>
      </c>
      <c r="K326" s="17" t="inlineStr">
        <is>
          <t>Completed</t>
        </is>
      </c>
      <c r="L326" s="17" t="inlineStr">
        <is>
          <t>Paid</t>
        </is>
      </c>
      <c r="M326" s="17" t="n">
        <v>36</v>
      </c>
      <c r="N326" s="17" t="inlineStr">
        <is>
          <t>No</t>
        </is>
      </c>
      <c r="O326" s="17">
        <f>TEXT(G326,"yyyy-mm")</f>
        <v/>
      </c>
      <c r="P326" s="17">
        <f>IF(H326&lt;20,"Low",IF(H326&lt;=60,"Medium","High"))</f>
        <v/>
      </c>
      <c r="Q326" s="17">
        <f>IF(I326&gt;0,"Yes","No")</f>
        <v/>
      </c>
      <c r="R326" s="17">
        <f>IF(N326="Yes",1,0)</f>
        <v/>
      </c>
      <c r="S326" s="17">
        <f>IF(N326=IF(OR(H326&gt;150,I326&gt;40),"Yes","No"),"Match","Mismatch")</f>
        <v/>
      </c>
    </row>
    <row r="327">
      <c r="A327" s="17" t="inlineStr">
        <is>
          <t>S00338</t>
        </is>
      </c>
      <c r="B327" s="17" t="inlineStr">
        <is>
          <t>P9449</t>
        </is>
      </c>
      <c r="C327" s="17" t="inlineStr">
        <is>
          <t>douglasluke</t>
        </is>
      </c>
      <c r="D327" s="17" t="inlineStr">
        <is>
          <t>SpeedX</t>
        </is>
      </c>
      <c r="E327" s="17" t="inlineStr">
        <is>
          <t>PC</t>
        </is>
      </c>
      <c r="F327" s="17" t="inlineStr">
        <is>
          <t>South</t>
        </is>
      </c>
      <c r="G327" s="18" t="n">
        <v>45759</v>
      </c>
      <c r="H327" s="17" t="n">
        <v>110</v>
      </c>
      <c r="I327" s="17" t="n">
        <v>0</v>
      </c>
      <c r="J327" s="17" t="inlineStr">
        <is>
          <t>No Purchase</t>
        </is>
      </c>
      <c r="K327" s="17" t="inlineStr">
        <is>
          <t>Completed</t>
        </is>
      </c>
      <c r="L327" s="17" t="inlineStr">
        <is>
          <t>Free</t>
        </is>
      </c>
      <c r="M327" s="17" t="n">
        <v>40</v>
      </c>
      <c r="N327" s="17" t="inlineStr">
        <is>
          <t>No</t>
        </is>
      </c>
      <c r="O327" s="17">
        <f>TEXT(G327,"yyyy-mm")</f>
        <v/>
      </c>
      <c r="P327" s="17">
        <f>IF(H327&lt;20,"Low",IF(H327&lt;=60,"Medium","High"))</f>
        <v/>
      </c>
      <c r="Q327" s="17">
        <f>IF(I327&gt;0,"Yes","No")</f>
        <v/>
      </c>
      <c r="R327" s="17">
        <f>IF(N327="Yes",1,0)</f>
        <v/>
      </c>
      <c r="S327" s="17">
        <f>IF(N327=IF(OR(H327&gt;150,I327&gt;40),"Yes","No"),"Match","Mismatch")</f>
        <v/>
      </c>
    </row>
    <row r="328">
      <c r="A328" s="17" t="inlineStr">
        <is>
          <t>S00307</t>
        </is>
      </c>
      <c r="B328" s="17" t="inlineStr">
        <is>
          <t>P9068</t>
        </is>
      </c>
      <c r="C328" s="17" t="inlineStr">
        <is>
          <t>nthompson</t>
        </is>
      </c>
      <c r="D328" s="17" t="inlineStr">
        <is>
          <t>BattleZone</t>
        </is>
      </c>
      <c r="E328" s="17" t="inlineStr">
        <is>
          <t>Mobile</t>
        </is>
      </c>
      <c r="F328" s="17" t="inlineStr">
        <is>
          <t>North-East</t>
        </is>
      </c>
      <c r="G328" s="18" t="n">
        <v>45759</v>
      </c>
      <c r="H328" s="17" t="n">
        <v>109</v>
      </c>
      <c r="I328" s="17" t="n">
        <v>0</v>
      </c>
      <c r="J328" s="17" t="inlineStr">
        <is>
          <t>No Purchase</t>
        </is>
      </c>
      <c r="K328" s="17" t="inlineStr">
        <is>
          <t>Completed</t>
        </is>
      </c>
      <c r="L328" s="17" t="inlineStr">
        <is>
          <t>Free</t>
        </is>
      </c>
      <c r="M328" s="17" t="n">
        <v>40</v>
      </c>
      <c r="N328" s="17" t="inlineStr">
        <is>
          <t>No</t>
        </is>
      </c>
      <c r="O328" s="17">
        <f>TEXT(G328,"yyyy-mm")</f>
        <v/>
      </c>
      <c r="P328" s="17">
        <f>IF(H328&lt;20,"Low",IF(H328&lt;=60,"Medium","High"))</f>
        <v/>
      </c>
      <c r="Q328" s="17">
        <f>IF(I328&gt;0,"Yes","No")</f>
        <v/>
      </c>
      <c r="R328" s="17">
        <f>IF(N328="Yes",1,0)</f>
        <v/>
      </c>
      <c r="S328" s="17">
        <f>IF(N328=IF(OR(H328&gt;150,I328&gt;40),"Yes","No"),"Match","Mismatch")</f>
        <v/>
      </c>
    </row>
    <row r="329">
      <c r="A329" s="17" t="inlineStr">
        <is>
          <t>S00007</t>
        </is>
      </c>
      <c r="B329" s="17" t="inlineStr">
        <is>
          <t>P7231</t>
        </is>
      </c>
      <c r="C329" s="17" t="inlineStr">
        <is>
          <t>holmesbruce</t>
        </is>
      </c>
      <c r="D329" s="17" t="inlineStr">
        <is>
          <t>Clash of Realms</t>
        </is>
      </c>
      <c r="E329" s="17" t="inlineStr">
        <is>
          <t>Console</t>
        </is>
      </c>
      <c r="F329" s="17" t="inlineStr">
        <is>
          <t>North-East</t>
        </is>
      </c>
      <c r="G329" s="18" t="n">
        <v>45759</v>
      </c>
      <c r="H329" s="17" t="n">
        <v>134</v>
      </c>
      <c r="I329" s="17" t="n">
        <v>42.57</v>
      </c>
      <c r="J329" s="17" t="inlineStr">
        <is>
          <t>Battle Pass</t>
        </is>
      </c>
      <c r="K329" s="17" t="inlineStr">
        <is>
          <t>Exited Early</t>
        </is>
      </c>
      <c r="L329" s="17" t="inlineStr">
        <is>
          <t>Paid</t>
        </is>
      </c>
      <c r="M329" s="17" t="n">
        <v>40</v>
      </c>
      <c r="N329" s="17" t="inlineStr">
        <is>
          <t>Yes</t>
        </is>
      </c>
      <c r="O329" s="17">
        <f>TEXT(G329,"yyyy-mm")</f>
        <v/>
      </c>
      <c r="P329" s="17">
        <f>IF(H329&lt;20,"Low",IF(H329&lt;=60,"Medium","High"))</f>
        <v/>
      </c>
      <c r="Q329" s="17">
        <f>IF(I329&gt;0,"Yes","No")</f>
        <v/>
      </c>
      <c r="R329" s="17">
        <f>IF(N329="Yes",1,0)</f>
        <v/>
      </c>
      <c r="S329" s="17">
        <f>IF(N329=IF(OR(H329&gt;150,I329&gt;40),"Yes","No"),"Match","Mismatch")</f>
        <v/>
      </c>
    </row>
    <row r="330">
      <c r="A330" s="17" t="inlineStr">
        <is>
          <t>S00107</t>
        </is>
      </c>
      <c r="B330" s="17" t="inlineStr">
        <is>
          <t>P1933</t>
        </is>
      </c>
      <c r="C330" s="17" t="inlineStr">
        <is>
          <t>ismith</t>
        </is>
      </c>
      <c r="D330" s="17" t="inlineStr">
        <is>
          <t>BattleZone</t>
        </is>
      </c>
      <c r="E330" s="17" t="inlineStr">
        <is>
          <t>PC</t>
        </is>
      </c>
      <c r="F330" s="17" t="inlineStr">
        <is>
          <t>North</t>
        </is>
      </c>
      <c r="G330" s="18" t="n">
        <v>45762</v>
      </c>
      <c r="H330" s="17" t="n">
        <v>21</v>
      </c>
      <c r="I330" s="17" t="n">
        <v>36.34</v>
      </c>
      <c r="J330" s="17" t="inlineStr">
        <is>
          <t>Subscriptions</t>
        </is>
      </c>
      <c r="K330" s="17" t="inlineStr">
        <is>
          <t>Completed</t>
        </is>
      </c>
      <c r="L330" s="17" t="inlineStr">
        <is>
          <t>Paid</t>
        </is>
      </c>
      <c r="M330" s="17" t="n">
        <v>24</v>
      </c>
      <c r="N330" s="17" t="inlineStr">
        <is>
          <t>No</t>
        </is>
      </c>
      <c r="O330" s="17">
        <f>TEXT(G330,"yyyy-mm")</f>
        <v/>
      </c>
      <c r="P330" s="17">
        <f>IF(H330&lt;20,"Low",IF(H330&lt;=60,"Medium","High"))</f>
        <v/>
      </c>
      <c r="Q330" s="17">
        <f>IF(I330&gt;0,"Yes","No")</f>
        <v/>
      </c>
      <c r="R330" s="17">
        <f>IF(N330="Yes",1,0)</f>
        <v/>
      </c>
      <c r="S330" s="17">
        <f>IF(N330=IF(OR(H330&gt;150,I330&gt;40),"Yes","No"),"Match","Mismatch")</f>
        <v/>
      </c>
    </row>
    <row r="331">
      <c r="A331" s="17" t="inlineStr">
        <is>
          <t>S00283</t>
        </is>
      </c>
      <c r="B331" s="17" t="inlineStr">
        <is>
          <t>P7004</t>
        </is>
      </c>
      <c r="C331" s="17" t="inlineStr">
        <is>
          <t>monicaharris</t>
        </is>
      </c>
      <c r="D331" s="17" t="inlineStr">
        <is>
          <t>BattleZone</t>
        </is>
      </c>
      <c r="E331" s="17" t="inlineStr">
        <is>
          <t>PC</t>
        </is>
      </c>
      <c r="F331" s="17" t="inlineStr">
        <is>
          <t>West</t>
        </is>
      </c>
      <c r="G331" s="18" t="n">
        <v>45762</v>
      </c>
      <c r="H331" s="17" t="n">
        <v>175</v>
      </c>
      <c r="I331" s="17" t="n">
        <v>0</v>
      </c>
      <c r="J331" s="17" t="inlineStr">
        <is>
          <t>No Purchase</t>
        </is>
      </c>
      <c r="K331" s="17" t="inlineStr">
        <is>
          <t>Completed</t>
        </is>
      </c>
      <c r="L331" s="17" t="inlineStr">
        <is>
          <t>Free</t>
        </is>
      </c>
      <c r="M331" s="17" t="n">
        <v>1</v>
      </c>
      <c r="N331" s="17" t="inlineStr">
        <is>
          <t>Yes</t>
        </is>
      </c>
      <c r="O331" s="17">
        <f>TEXT(G331,"yyyy-mm")</f>
        <v/>
      </c>
      <c r="P331" s="17">
        <f>IF(H331&lt;20,"Low",IF(H331&lt;=60,"Medium","High"))</f>
        <v/>
      </c>
      <c r="Q331" s="17">
        <f>IF(I331&gt;0,"Yes","No")</f>
        <v/>
      </c>
      <c r="R331" s="17">
        <f>IF(N331="Yes",1,0)</f>
        <v/>
      </c>
      <c r="S331" s="17">
        <f>IF(N331=IF(OR(H331&gt;150,I331&gt;40),"Yes","No"),"Match","Mismatch")</f>
        <v/>
      </c>
    </row>
    <row r="332">
      <c r="A332" s="17" t="inlineStr">
        <is>
          <t>S00169</t>
        </is>
      </c>
      <c r="B332" s="17" t="inlineStr">
        <is>
          <t>P1828</t>
        </is>
      </c>
      <c r="C332" s="17" t="inlineStr">
        <is>
          <t>fray</t>
        </is>
      </c>
      <c r="D332" s="17" t="inlineStr">
        <is>
          <t>SpeedX</t>
        </is>
      </c>
      <c r="E332" s="17" t="inlineStr">
        <is>
          <t>Mobile</t>
        </is>
      </c>
      <c r="F332" s="17" t="inlineStr">
        <is>
          <t>North</t>
        </is>
      </c>
      <c r="G332" s="18" t="n">
        <v>45762</v>
      </c>
      <c r="H332" s="17" t="n">
        <v>35</v>
      </c>
      <c r="I332" s="17" t="n">
        <v>0</v>
      </c>
      <c r="J332" s="17" t="inlineStr">
        <is>
          <t>No Purchase</t>
        </is>
      </c>
      <c r="K332" s="17" t="inlineStr">
        <is>
          <t>Completed</t>
        </is>
      </c>
      <c r="L332" s="17" t="inlineStr">
        <is>
          <t>Free</t>
        </is>
      </c>
      <c r="M332" s="17" t="n">
        <v>46</v>
      </c>
      <c r="N332" s="17" t="inlineStr">
        <is>
          <t>No</t>
        </is>
      </c>
      <c r="O332" s="17">
        <f>TEXT(G332,"yyyy-mm")</f>
        <v/>
      </c>
      <c r="P332" s="17">
        <f>IF(H332&lt;20,"Low",IF(H332&lt;=60,"Medium","High"))</f>
        <v/>
      </c>
      <c r="Q332" s="17">
        <f>IF(I332&gt;0,"Yes","No")</f>
        <v/>
      </c>
      <c r="R332" s="17">
        <f>IF(N332="Yes",1,0)</f>
        <v/>
      </c>
      <c r="S332" s="17">
        <f>IF(N332=IF(OR(H332&gt;150,I332&gt;40),"Yes","No"),"Match","Mismatch")</f>
        <v/>
      </c>
    </row>
    <row r="333">
      <c r="A333" s="17" t="inlineStr">
        <is>
          <t>S00167</t>
        </is>
      </c>
      <c r="B333" s="17" t="inlineStr">
        <is>
          <t>P4379</t>
        </is>
      </c>
      <c r="C333" s="17" t="inlineStr">
        <is>
          <t>walkerdeborah</t>
        </is>
      </c>
      <c r="D333" s="17" t="inlineStr">
        <is>
          <t>BattleZone</t>
        </is>
      </c>
      <c r="E333" s="17" t="inlineStr">
        <is>
          <t>Mobile</t>
        </is>
      </c>
      <c r="F333" s="17" t="inlineStr">
        <is>
          <t>West</t>
        </is>
      </c>
      <c r="G333" s="18" t="n">
        <v>45763</v>
      </c>
      <c r="H333" s="17" t="n">
        <v>116</v>
      </c>
      <c r="I333" s="17" t="n">
        <v>47.47</v>
      </c>
      <c r="J333" s="17" t="inlineStr">
        <is>
          <t>Subscriptions</t>
        </is>
      </c>
      <c r="K333" s="17" t="inlineStr">
        <is>
          <t>Completed</t>
        </is>
      </c>
      <c r="L333" s="17" t="inlineStr">
        <is>
          <t>Paid</t>
        </is>
      </c>
      <c r="M333" s="17" t="n">
        <v>1</v>
      </c>
      <c r="N333" s="17" t="inlineStr">
        <is>
          <t>Yes</t>
        </is>
      </c>
      <c r="O333" s="17">
        <f>TEXT(G333,"yyyy-mm")</f>
        <v/>
      </c>
      <c r="P333" s="17">
        <f>IF(H333&lt;20,"Low",IF(H333&lt;=60,"Medium","High"))</f>
        <v/>
      </c>
      <c r="Q333" s="17">
        <f>IF(I333&gt;0,"Yes","No")</f>
        <v/>
      </c>
      <c r="R333" s="17">
        <f>IF(N333="Yes",1,0)</f>
        <v/>
      </c>
      <c r="S333" s="17">
        <f>IF(N333=IF(OR(H333&gt;150,I333&gt;40),"Yes","No"),"Match","Mismatch")</f>
        <v/>
      </c>
    </row>
    <row r="334">
      <c r="A334" s="17" t="inlineStr">
        <is>
          <t>S00494</t>
        </is>
      </c>
      <c r="B334" s="17" t="inlineStr">
        <is>
          <t>P3534</t>
        </is>
      </c>
      <c r="C334" s="17" t="inlineStr">
        <is>
          <t>simsalexis</t>
        </is>
      </c>
      <c r="D334" s="17" t="inlineStr">
        <is>
          <t>Clash of Realms</t>
        </is>
      </c>
      <c r="E334" s="17" t="inlineStr">
        <is>
          <t>PC</t>
        </is>
      </c>
      <c r="F334" s="17" t="inlineStr">
        <is>
          <t>East</t>
        </is>
      </c>
      <c r="G334" s="18" t="n">
        <v>45763</v>
      </c>
      <c r="H334" s="17" t="n">
        <v>56</v>
      </c>
      <c r="I334" s="17" t="n">
        <v>46.31</v>
      </c>
      <c r="J334" s="17" t="inlineStr">
        <is>
          <t>Skins</t>
        </is>
      </c>
      <c r="K334" s="17" t="inlineStr">
        <is>
          <t>Completed</t>
        </is>
      </c>
      <c r="L334" s="17" t="inlineStr">
        <is>
          <t>Paid</t>
        </is>
      </c>
      <c r="M334" s="17" t="n">
        <v>11</v>
      </c>
      <c r="N334" s="17" t="inlineStr">
        <is>
          <t>Yes</t>
        </is>
      </c>
      <c r="O334" s="17">
        <f>TEXT(G334,"yyyy-mm")</f>
        <v/>
      </c>
      <c r="P334" s="17">
        <f>IF(H334&lt;20,"Low",IF(H334&lt;=60,"Medium","High"))</f>
        <v/>
      </c>
      <c r="Q334" s="17">
        <f>IF(I334&gt;0,"Yes","No")</f>
        <v/>
      </c>
      <c r="R334" s="17">
        <f>IF(N334="Yes",1,0)</f>
        <v/>
      </c>
      <c r="S334" s="17">
        <f>IF(N334=IF(OR(H334&gt;150,I334&gt;40),"Yes","No"),"Match","Mismatch")</f>
        <v/>
      </c>
    </row>
    <row r="335">
      <c r="A335" s="17" t="inlineStr">
        <is>
          <t>S00029</t>
        </is>
      </c>
      <c r="B335" s="17" t="inlineStr">
        <is>
          <t>P5046</t>
        </is>
      </c>
      <c r="C335" s="17" t="inlineStr">
        <is>
          <t>kevinruiz</t>
        </is>
      </c>
      <c r="D335" s="17" t="inlineStr">
        <is>
          <t>Clash of Realms</t>
        </is>
      </c>
      <c r="E335" s="17" t="inlineStr">
        <is>
          <t>Console</t>
        </is>
      </c>
      <c r="F335" s="17" t="inlineStr">
        <is>
          <t>North-East</t>
        </is>
      </c>
      <c r="G335" s="18" t="n">
        <v>45763</v>
      </c>
      <c r="H335" s="17" t="n">
        <v>16</v>
      </c>
      <c r="I335" s="17" t="n">
        <v>0</v>
      </c>
      <c r="J335" s="17" t="inlineStr">
        <is>
          <t>No Purchase</t>
        </is>
      </c>
      <c r="K335" s="17" t="inlineStr">
        <is>
          <t>Completed</t>
        </is>
      </c>
      <c r="L335" s="17" t="inlineStr">
        <is>
          <t>Free</t>
        </is>
      </c>
      <c r="M335" s="17" t="n">
        <v>26</v>
      </c>
      <c r="N335" s="17" t="inlineStr">
        <is>
          <t>No</t>
        </is>
      </c>
      <c r="O335" s="17">
        <f>TEXT(G335,"yyyy-mm")</f>
        <v/>
      </c>
      <c r="P335" s="17">
        <f>IF(H335&lt;20,"Low",IF(H335&lt;=60,"Medium","High"))</f>
        <v/>
      </c>
      <c r="Q335" s="17">
        <f>IF(I335&gt;0,"Yes","No")</f>
        <v/>
      </c>
      <c r="R335" s="17">
        <f>IF(N335="Yes",1,0)</f>
        <v/>
      </c>
      <c r="S335" s="17">
        <f>IF(N335=IF(OR(H335&gt;150,I335&gt;40),"Yes","No"),"Match","Mismatch")</f>
        <v/>
      </c>
    </row>
    <row r="336">
      <c r="A336" s="17" t="inlineStr">
        <is>
          <t>S00484</t>
        </is>
      </c>
      <c r="B336" s="17" t="inlineStr">
        <is>
          <t>P3747</t>
        </is>
      </c>
      <c r="C336" s="17" t="inlineStr">
        <is>
          <t>neallisa</t>
        </is>
      </c>
      <c r="D336" s="17" t="inlineStr">
        <is>
          <t>BattleZone</t>
        </is>
      </c>
      <c r="E336" s="17" t="inlineStr">
        <is>
          <t>PC</t>
        </is>
      </c>
      <c r="F336" s="17" t="inlineStr">
        <is>
          <t>West</t>
        </is>
      </c>
      <c r="G336" s="18" t="n">
        <v>45763</v>
      </c>
      <c r="H336" s="17" t="n">
        <v>139</v>
      </c>
      <c r="I336" s="17" t="n">
        <v>0</v>
      </c>
      <c r="J336" s="17" t="inlineStr">
        <is>
          <t>No Purchase</t>
        </is>
      </c>
      <c r="K336" s="17" t="inlineStr">
        <is>
          <t>Completed</t>
        </is>
      </c>
      <c r="L336" s="17" t="inlineStr">
        <is>
          <t>Free</t>
        </is>
      </c>
      <c r="M336" s="17" t="n">
        <v>19</v>
      </c>
      <c r="N336" s="17" t="inlineStr">
        <is>
          <t>No</t>
        </is>
      </c>
      <c r="O336" s="17">
        <f>TEXT(G336,"yyyy-mm")</f>
        <v/>
      </c>
      <c r="P336" s="17">
        <f>IF(H336&lt;20,"Low",IF(H336&lt;=60,"Medium","High"))</f>
        <v/>
      </c>
      <c r="Q336" s="17">
        <f>IF(I336&gt;0,"Yes","No")</f>
        <v/>
      </c>
      <c r="R336" s="17">
        <f>IF(N336="Yes",1,0)</f>
        <v/>
      </c>
      <c r="S336" s="17">
        <f>IF(N336=IF(OR(H336&gt;150,I336&gt;40),"Yes","No"),"Match","Mismatch")</f>
        <v/>
      </c>
    </row>
    <row r="337">
      <c r="A337" s="17" t="inlineStr">
        <is>
          <t>S00365</t>
        </is>
      </c>
      <c r="B337" s="17" t="inlineStr">
        <is>
          <t>P1888</t>
        </is>
      </c>
      <c r="C337" s="17" t="inlineStr">
        <is>
          <t>lynchtina</t>
        </is>
      </c>
      <c r="D337" s="17" t="inlineStr">
        <is>
          <t>SpeedX</t>
        </is>
      </c>
      <c r="E337" s="17" t="inlineStr">
        <is>
          <t>Mobile</t>
        </is>
      </c>
      <c r="F337" s="17" t="inlineStr">
        <is>
          <t>South</t>
        </is>
      </c>
      <c r="G337" s="18" t="n">
        <v>45763</v>
      </c>
      <c r="H337" s="17" t="n">
        <v>73</v>
      </c>
      <c r="I337" s="17" t="n">
        <v>0</v>
      </c>
      <c r="J337" s="17" t="inlineStr">
        <is>
          <t>No Purchase</t>
        </is>
      </c>
      <c r="K337" s="17" t="inlineStr">
        <is>
          <t>Incomplete</t>
        </is>
      </c>
      <c r="L337" s="17" t="inlineStr">
        <is>
          <t>Free</t>
        </is>
      </c>
      <c r="M337" s="17" t="n">
        <v>32</v>
      </c>
      <c r="N337" s="17" t="inlineStr">
        <is>
          <t>No</t>
        </is>
      </c>
      <c r="O337" s="17">
        <f>TEXT(G337,"yyyy-mm")</f>
        <v/>
      </c>
      <c r="P337" s="17">
        <f>IF(H337&lt;20,"Low",IF(H337&lt;=60,"Medium","High"))</f>
        <v/>
      </c>
      <c r="Q337" s="17">
        <f>IF(I337&gt;0,"Yes","No")</f>
        <v/>
      </c>
      <c r="R337" s="17">
        <f>IF(N337="Yes",1,0)</f>
        <v/>
      </c>
      <c r="S337" s="17">
        <f>IF(N337=IF(OR(H337&gt;150,I337&gt;40),"Yes","No"),"Match","Mismatch")</f>
        <v/>
      </c>
    </row>
    <row r="338">
      <c r="A338" s="17" t="inlineStr">
        <is>
          <t>S00487</t>
        </is>
      </c>
      <c r="B338" s="17" t="inlineStr">
        <is>
          <t>P2044</t>
        </is>
      </c>
      <c r="C338" s="17" t="inlineStr">
        <is>
          <t>hgardner</t>
        </is>
      </c>
      <c r="D338" s="17" t="inlineStr">
        <is>
          <t>SpeedX</t>
        </is>
      </c>
      <c r="E338" s="17" t="inlineStr">
        <is>
          <t>Mobile</t>
        </is>
      </c>
      <c r="F338" s="17" t="inlineStr">
        <is>
          <t>East</t>
        </is>
      </c>
      <c r="G338" s="18" t="n">
        <v>45764</v>
      </c>
      <c r="H338" s="17" t="n">
        <v>13</v>
      </c>
      <c r="I338" s="17" t="n">
        <v>0</v>
      </c>
      <c r="J338" s="17" t="inlineStr">
        <is>
          <t>No Purchase</t>
        </is>
      </c>
      <c r="K338" s="17" t="inlineStr">
        <is>
          <t>Completed</t>
        </is>
      </c>
      <c r="L338" s="17" t="inlineStr">
        <is>
          <t>Free</t>
        </is>
      </c>
      <c r="M338" s="17" t="n">
        <v>47</v>
      </c>
      <c r="N338" s="17" t="inlineStr">
        <is>
          <t>No</t>
        </is>
      </c>
      <c r="O338" s="17">
        <f>TEXT(G338,"yyyy-mm")</f>
        <v/>
      </c>
      <c r="P338" s="17">
        <f>IF(H338&lt;20,"Low",IF(H338&lt;=60,"Medium","High"))</f>
        <v/>
      </c>
      <c r="Q338" s="17">
        <f>IF(I338&gt;0,"Yes","No")</f>
        <v/>
      </c>
      <c r="R338" s="17">
        <f>IF(N338="Yes",1,0)</f>
        <v/>
      </c>
      <c r="S338" s="17">
        <f>IF(N338=IF(OR(H338&gt;150,I338&gt;40),"Yes","No"),"Match","Mismatch")</f>
        <v/>
      </c>
    </row>
    <row r="339">
      <c r="A339" s="17" t="inlineStr">
        <is>
          <t>S00235</t>
        </is>
      </c>
      <c r="B339" s="17" t="inlineStr">
        <is>
          <t>P5994</t>
        </is>
      </c>
      <c r="C339" s="17" t="inlineStr">
        <is>
          <t>deannanewman</t>
        </is>
      </c>
      <c r="D339" s="17" t="inlineStr">
        <is>
          <t>BattleZone</t>
        </is>
      </c>
      <c r="E339" s="17" t="inlineStr">
        <is>
          <t>PC</t>
        </is>
      </c>
      <c r="F339" s="17" t="inlineStr">
        <is>
          <t>West</t>
        </is>
      </c>
      <c r="G339" s="18" t="n">
        <v>45764</v>
      </c>
      <c r="H339" s="17" t="n">
        <v>163</v>
      </c>
      <c r="I339" s="17" t="n">
        <v>0</v>
      </c>
      <c r="J339" s="17" t="inlineStr">
        <is>
          <t>No Purchase</t>
        </is>
      </c>
      <c r="K339" s="17" t="inlineStr">
        <is>
          <t>Completed</t>
        </is>
      </c>
      <c r="L339" s="17" t="inlineStr">
        <is>
          <t>Free</t>
        </is>
      </c>
      <c r="M339" s="17" t="n">
        <v>46</v>
      </c>
      <c r="N339" s="17" t="inlineStr">
        <is>
          <t>Yes</t>
        </is>
      </c>
      <c r="O339" s="17">
        <f>TEXT(G339,"yyyy-mm")</f>
        <v/>
      </c>
      <c r="P339" s="17">
        <f>IF(H339&lt;20,"Low",IF(H339&lt;=60,"Medium","High"))</f>
        <v/>
      </c>
      <c r="Q339" s="17">
        <f>IF(I339&gt;0,"Yes","No")</f>
        <v/>
      </c>
      <c r="R339" s="17">
        <f>IF(N339="Yes",1,0)</f>
        <v/>
      </c>
      <c r="S339" s="17">
        <f>IF(N339=IF(OR(H339&gt;150,I339&gt;40),"Yes","No"),"Match","Mismatch")</f>
        <v/>
      </c>
    </row>
    <row r="340">
      <c r="A340" s="17" t="inlineStr">
        <is>
          <t>S00254</t>
        </is>
      </c>
      <c r="B340" s="17" t="inlineStr">
        <is>
          <t>P5142</t>
        </is>
      </c>
      <c r="C340" s="17" t="inlineStr">
        <is>
          <t>georgewarren</t>
        </is>
      </c>
      <c r="D340" s="17" t="inlineStr">
        <is>
          <t>Clash of Realms</t>
        </is>
      </c>
      <c r="E340" s="17" t="inlineStr">
        <is>
          <t>PC</t>
        </is>
      </c>
      <c r="F340" s="17" t="inlineStr">
        <is>
          <t>South</t>
        </is>
      </c>
      <c r="G340" s="18" t="n">
        <v>45764</v>
      </c>
      <c r="H340" s="17" t="n">
        <v>116</v>
      </c>
      <c r="I340" s="17" t="n">
        <v>0</v>
      </c>
      <c r="J340" s="17" t="inlineStr">
        <is>
          <t>No Purchase</t>
        </is>
      </c>
      <c r="K340" s="17" t="inlineStr">
        <is>
          <t>Completed</t>
        </is>
      </c>
      <c r="L340" s="17" t="inlineStr">
        <is>
          <t>Free</t>
        </is>
      </c>
      <c r="M340" s="17" t="n">
        <v>40</v>
      </c>
      <c r="N340" s="17" t="inlineStr">
        <is>
          <t>No</t>
        </is>
      </c>
      <c r="O340" s="17">
        <f>TEXT(G340,"yyyy-mm")</f>
        <v/>
      </c>
      <c r="P340" s="17">
        <f>IF(H340&lt;20,"Low",IF(H340&lt;=60,"Medium","High"))</f>
        <v/>
      </c>
      <c r="Q340" s="17">
        <f>IF(I340&gt;0,"Yes","No")</f>
        <v/>
      </c>
      <c r="R340" s="17">
        <f>IF(N340="Yes",1,0)</f>
        <v/>
      </c>
      <c r="S340" s="17">
        <f>IF(N340=IF(OR(H340&gt;150,I340&gt;40),"Yes","No"),"Match","Mismatch")</f>
        <v/>
      </c>
    </row>
    <row r="341">
      <c r="A341" s="17" t="inlineStr">
        <is>
          <t>S00241</t>
        </is>
      </c>
      <c r="B341" s="17" t="inlineStr">
        <is>
          <t>P9330</t>
        </is>
      </c>
      <c r="C341" s="17" t="inlineStr">
        <is>
          <t>susan69</t>
        </is>
      </c>
      <c r="D341" s="17" t="inlineStr">
        <is>
          <t>Clash of Realms</t>
        </is>
      </c>
      <c r="E341" s="17" t="inlineStr">
        <is>
          <t>Console</t>
        </is>
      </c>
      <c r="F341" s="17" t="inlineStr">
        <is>
          <t>South</t>
        </is>
      </c>
      <c r="G341" s="18" t="n">
        <v>45764</v>
      </c>
      <c r="H341" s="17" t="n">
        <v>8</v>
      </c>
      <c r="I341" s="17" t="n">
        <v>36.39</v>
      </c>
      <c r="J341" s="17" t="inlineStr">
        <is>
          <t>Boosters</t>
        </is>
      </c>
      <c r="K341" s="17" t="inlineStr">
        <is>
          <t>Completed</t>
        </is>
      </c>
      <c r="L341" s="17" t="inlineStr">
        <is>
          <t>Paid</t>
        </is>
      </c>
      <c r="M341" s="17" t="n">
        <v>22</v>
      </c>
      <c r="N341" s="17" t="inlineStr">
        <is>
          <t>No</t>
        </is>
      </c>
      <c r="O341" s="17">
        <f>TEXT(G341,"yyyy-mm")</f>
        <v/>
      </c>
      <c r="P341" s="17">
        <f>IF(H341&lt;20,"Low",IF(H341&lt;=60,"Medium","High"))</f>
        <v/>
      </c>
      <c r="Q341" s="17">
        <f>IF(I341&gt;0,"Yes","No")</f>
        <v/>
      </c>
      <c r="R341" s="17">
        <f>IF(N341="Yes",1,0)</f>
        <v/>
      </c>
      <c r="S341" s="17">
        <f>IF(N341=IF(OR(H341&gt;150,I341&gt;40),"Yes","No"),"Match","Mismatch")</f>
        <v/>
      </c>
    </row>
    <row r="342">
      <c r="A342" s="17" t="inlineStr">
        <is>
          <t>S00217</t>
        </is>
      </c>
      <c r="B342" s="17" t="inlineStr">
        <is>
          <t>P3087</t>
        </is>
      </c>
      <c r="C342" s="17" t="inlineStr">
        <is>
          <t>quinncaroline</t>
        </is>
      </c>
      <c r="D342" s="17" t="inlineStr">
        <is>
          <t>SpeedX</t>
        </is>
      </c>
      <c r="E342" s="17" t="inlineStr">
        <is>
          <t>Console</t>
        </is>
      </c>
      <c r="F342" s="17" t="inlineStr">
        <is>
          <t>North-East</t>
        </is>
      </c>
      <c r="G342" s="18" t="n">
        <v>45764</v>
      </c>
      <c r="H342" s="17" t="n">
        <v>51</v>
      </c>
      <c r="I342" s="17" t="n">
        <v>0</v>
      </c>
      <c r="J342" s="17" t="inlineStr">
        <is>
          <t>No Purchase</t>
        </is>
      </c>
      <c r="K342" s="17" t="inlineStr">
        <is>
          <t>Crashed</t>
        </is>
      </c>
      <c r="L342" s="17" t="inlineStr">
        <is>
          <t>Free</t>
        </is>
      </c>
      <c r="M342" s="17" t="n">
        <v>2</v>
      </c>
      <c r="N342" s="17" t="inlineStr">
        <is>
          <t>No</t>
        </is>
      </c>
      <c r="O342" s="17">
        <f>TEXT(G342,"yyyy-mm")</f>
        <v/>
      </c>
      <c r="P342" s="17">
        <f>IF(H342&lt;20,"Low",IF(H342&lt;=60,"Medium","High"))</f>
        <v/>
      </c>
      <c r="Q342" s="17">
        <f>IF(I342&gt;0,"Yes","No")</f>
        <v/>
      </c>
      <c r="R342" s="17">
        <f>IF(N342="Yes",1,0)</f>
        <v/>
      </c>
      <c r="S342" s="17">
        <f>IF(N342=IF(OR(H342&gt;150,I342&gt;40),"Yes","No"),"Match","Mismatch")</f>
        <v/>
      </c>
    </row>
    <row r="343">
      <c r="A343" s="17" t="inlineStr">
        <is>
          <t>S00377</t>
        </is>
      </c>
      <c r="B343" s="17" t="inlineStr">
        <is>
          <t>P7247</t>
        </is>
      </c>
      <c r="C343" s="17" t="inlineStr">
        <is>
          <t>hhuff</t>
        </is>
      </c>
      <c r="D343" s="17" t="inlineStr">
        <is>
          <t>BattleZone</t>
        </is>
      </c>
      <c r="E343" s="17" t="inlineStr">
        <is>
          <t>Console</t>
        </is>
      </c>
      <c r="F343" s="17" t="inlineStr">
        <is>
          <t>South</t>
        </is>
      </c>
      <c r="G343" s="18" t="n">
        <v>45765</v>
      </c>
      <c r="H343" s="17" t="n">
        <v>165</v>
      </c>
      <c r="I343" s="17" t="n">
        <v>21.99</v>
      </c>
      <c r="J343" s="17" t="inlineStr">
        <is>
          <t>Boosters</t>
        </is>
      </c>
      <c r="K343" s="17" t="inlineStr">
        <is>
          <t>Exited Early</t>
        </is>
      </c>
      <c r="L343" s="17" t="inlineStr">
        <is>
          <t>Paid</t>
        </is>
      </c>
      <c r="M343" s="17" t="n">
        <v>45</v>
      </c>
      <c r="N343" s="17" t="inlineStr">
        <is>
          <t>Yes</t>
        </is>
      </c>
      <c r="O343" s="17">
        <f>TEXT(G343,"yyyy-mm")</f>
        <v/>
      </c>
      <c r="P343" s="17">
        <f>IF(H343&lt;20,"Low",IF(H343&lt;=60,"Medium","High"))</f>
        <v/>
      </c>
      <c r="Q343" s="17">
        <f>IF(I343&gt;0,"Yes","No")</f>
        <v/>
      </c>
      <c r="R343" s="17">
        <f>IF(N343="Yes",1,0)</f>
        <v/>
      </c>
      <c r="S343" s="17">
        <f>IF(N343=IF(OR(H343&gt;150,I343&gt;40),"Yes","No"),"Match","Mismatch")</f>
        <v/>
      </c>
    </row>
    <row r="344">
      <c r="A344" s="17" t="inlineStr">
        <is>
          <t>S00161</t>
        </is>
      </c>
      <c r="B344" s="17" t="inlineStr">
        <is>
          <t>P7830</t>
        </is>
      </c>
      <c r="C344" s="17" t="inlineStr">
        <is>
          <t>thomasowens</t>
        </is>
      </c>
      <c r="D344" s="17" t="inlineStr">
        <is>
          <t>Zombie Rush</t>
        </is>
      </c>
      <c r="E344" s="17" t="inlineStr">
        <is>
          <t>Console</t>
        </is>
      </c>
      <c r="F344" s="17" t="inlineStr">
        <is>
          <t>West</t>
        </is>
      </c>
      <c r="G344" s="18" t="n">
        <v>45765</v>
      </c>
      <c r="H344" s="17" t="n">
        <v>116</v>
      </c>
      <c r="I344" s="17" t="n">
        <v>17.05</v>
      </c>
      <c r="J344" s="17" t="inlineStr">
        <is>
          <t>Subscriptions</t>
        </is>
      </c>
      <c r="K344" s="17" t="inlineStr">
        <is>
          <t>Exited Early</t>
        </is>
      </c>
      <c r="L344" s="17" t="inlineStr">
        <is>
          <t>Paid</t>
        </is>
      </c>
      <c r="M344" s="17" t="n">
        <v>17</v>
      </c>
      <c r="N344" s="17" t="inlineStr">
        <is>
          <t>No</t>
        </is>
      </c>
      <c r="O344" s="17">
        <f>TEXT(G344,"yyyy-mm")</f>
        <v/>
      </c>
      <c r="P344" s="17">
        <f>IF(H344&lt;20,"Low",IF(H344&lt;=60,"Medium","High"))</f>
        <v/>
      </c>
      <c r="Q344" s="17">
        <f>IF(I344&gt;0,"Yes","No")</f>
        <v/>
      </c>
      <c r="R344" s="17">
        <f>IF(N344="Yes",1,0)</f>
        <v/>
      </c>
      <c r="S344" s="17">
        <f>IF(N344=IF(OR(H344&gt;150,I344&gt;40),"Yes","No"),"Match","Mismatch")</f>
        <v/>
      </c>
    </row>
    <row r="345">
      <c r="A345" s="17" t="inlineStr">
        <is>
          <t>S00345</t>
        </is>
      </c>
      <c r="B345" s="17" t="inlineStr">
        <is>
          <t>P6815</t>
        </is>
      </c>
      <c r="C345" s="17" t="inlineStr">
        <is>
          <t>parkerpatricia</t>
        </is>
      </c>
      <c r="D345" s="17" t="inlineStr">
        <is>
          <t>Clash of Realms</t>
        </is>
      </c>
      <c r="E345" s="17" t="inlineStr">
        <is>
          <t>Mobile</t>
        </is>
      </c>
      <c r="F345" s="17" t="inlineStr">
        <is>
          <t>North-East</t>
        </is>
      </c>
      <c r="G345" s="18" t="n">
        <v>45766</v>
      </c>
      <c r="H345" s="17" t="n">
        <v>91</v>
      </c>
      <c r="I345" s="17" t="n">
        <v>13.08</v>
      </c>
      <c r="J345" s="17" t="inlineStr">
        <is>
          <t>Skins</t>
        </is>
      </c>
      <c r="K345" s="17" t="inlineStr">
        <is>
          <t>Completed</t>
        </is>
      </c>
      <c r="L345" s="17" t="inlineStr">
        <is>
          <t>Paid</t>
        </is>
      </c>
      <c r="M345" s="17" t="n">
        <v>17</v>
      </c>
      <c r="N345" s="17" t="inlineStr">
        <is>
          <t>No</t>
        </is>
      </c>
      <c r="O345" s="17">
        <f>TEXT(G345,"yyyy-mm")</f>
        <v/>
      </c>
      <c r="P345" s="17">
        <f>IF(H345&lt;20,"Low",IF(H345&lt;=60,"Medium","High"))</f>
        <v/>
      </c>
      <c r="Q345" s="17">
        <f>IF(I345&gt;0,"Yes","No")</f>
        <v/>
      </c>
      <c r="R345" s="17">
        <f>IF(N345="Yes",1,0)</f>
        <v/>
      </c>
      <c r="S345" s="17">
        <f>IF(N345=IF(OR(H345&gt;150,I345&gt;40),"Yes","No"),"Match","Mismatch")</f>
        <v/>
      </c>
    </row>
    <row r="346">
      <c r="A346" s="17" t="inlineStr">
        <is>
          <t>S00060</t>
        </is>
      </c>
      <c r="B346" s="17" t="inlineStr">
        <is>
          <t>P2205</t>
        </is>
      </c>
      <c r="C346" s="17" t="inlineStr">
        <is>
          <t>fstewart</t>
        </is>
      </c>
      <c r="D346" s="17" t="inlineStr">
        <is>
          <t>Empire Wars</t>
        </is>
      </c>
      <c r="E346" s="17" t="inlineStr">
        <is>
          <t>PC</t>
        </is>
      </c>
      <c r="F346" s="17" t="inlineStr">
        <is>
          <t>Central</t>
        </is>
      </c>
      <c r="G346" s="18" t="n">
        <v>45767</v>
      </c>
      <c r="H346" s="17" t="n">
        <v>153</v>
      </c>
      <c r="I346" s="17" t="n">
        <v>0</v>
      </c>
      <c r="J346" s="17" t="inlineStr">
        <is>
          <t>No Purchase</t>
        </is>
      </c>
      <c r="K346" s="17" t="inlineStr">
        <is>
          <t>Completed</t>
        </is>
      </c>
      <c r="L346" s="17" t="inlineStr">
        <is>
          <t>Free</t>
        </is>
      </c>
      <c r="M346" s="17" t="n">
        <v>2</v>
      </c>
      <c r="N346" s="17" t="inlineStr">
        <is>
          <t>Yes</t>
        </is>
      </c>
      <c r="O346" s="17">
        <f>TEXT(G346,"yyyy-mm")</f>
        <v/>
      </c>
      <c r="P346" s="17">
        <f>IF(H346&lt;20,"Low",IF(H346&lt;=60,"Medium","High"))</f>
        <v/>
      </c>
      <c r="Q346" s="17">
        <f>IF(I346&gt;0,"Yes","No")</f>
        <v/>
      </c>
      <c r="R346" s="17">
        <f>IF(N346="Yes",1,0)</f>
        <v/>
      </c>
      <c r="S346" s="17">
        <f>IF(N346=IF(OR(H346&gt;150,I346&gt;40),"Yes","No"),"Match","Mismatch")</f>
        <v/>
      </c>
    </row>
    <row r="347">
      <c r="A347" s="17" t="inlineStr">
        <is>
          <t>S00421</t>
        </is>
      </c>
      <c r="B347" s="17" t="inlineStr">
        <is>
          <t>P9217</t>
        </is>
      </c>
      <c r="C347" s="17" t="inlineStr">
        <is>
          <t>pwright</t>
        </is>
      </c>
      <c r="D347" s="17" t="inlineStr">
        <is>
          <t>BattleZone</t>
        </is>
      </c>
      <c r="E347" s="17" t="inlineStr">
        <is>
          <t>Console</t>
        </is>
      </c>
      <c r="F347" s="17" t="inlineStr">
        <is>
          <t>South</t>
        </is>
      </c>
      <c r="G347" s="18" t="n">
        <v>45767</v>
      </c>
      <c r="H347" s="17" t="n">
        <v>97</v>
      </c>
      <c r="I347" s="17" t="n">
        <v>3.6</v>
      </c>
      <c r="J347" s="17" t="inlineStr">
        <is>
          <t>Subscriptions</t>
        </is>
      </c>
      <c r="K347" s="17" t="inlineStr">
        <is>
          <t>Incomplete</t>
        </is>
      </c>
      <c r="L347" s="17" t="inlineStr">
        <is>
          <t>Paid</t>
        </is>
      </c>
      <c r="M347" s="17" t="n">
        <v>14</v>
      </c>
      <c r="N347" s="17" t="inlineStr">
        <is>
          <t>No</t>
        </is>
      </c>
      <c r="O347" s="17">
        <f>TEXT(G347,"yyyy-mm")</f>
        <v/>
      </c>
      <c r="P347" s="17">
        <f>IF(H347&lt;20,"Low",IF(H347&lt;=60,"Medium","High"))</f>
        <v/>
      </c>
      <c r="Q347" s="17">
        <f>IF(I347&gt;0,"Yes","No")</f>
        <v/>
      </c>
      <c r="R347" s="17">
        <f>IF(N347="Yes",1,0)</f>
        <v/>
      </c>
      <c r="S347" s="17">
        <f>IF(N347=IF(OR(H347&gt;150,I347&gt;40),"Yes","No"),"Match","Mismatch")</f>
        <v/>
      </c>
    </row>
    <row r="348">
      <c r="A348" s="17" t="inlineStr">
        <is>
          <t>S00266</t>
        </is>
      </c>
      <c r="B348" s="17" t="inlineStr">
        <is>
          <t>P4801</t>
        </is>
      </c>
      <c r="C348" s="17" t="inlineStr">
        <is>
          <t>annaroy</t>
        </is>
      </c>
      <c r="D348" s="17" t="inlineStr">
        <is>
          <t>Clash of Realms</t>
        </is>
      </c>
      <c r="E348" s="17" t="inlineStr">
        <is>
          <t>Mobile</t>
        </is>
      </c>
      <c r="F348" s="17" t="inlineStr">
        <is>
          <t>West</t>
        </is>
      </c>
      <c r="G348" s="18" t="n">
        <v>45768</v>
      </c>
      <c r="H348" s="17" t="n">
        <v>17</v>
      </c>
      <c r="I348" s="17" t="n">
        <v>0</v>
      </c>
      <c r="J348" s="17" t="inlineStr">
        <is>
          <t>No Purchase</t>
        </is>
      </c>
      <c r="K348" s="17" t="inlineStr">
        <is>
          <t>Completed</t>
        </is>
      </c>
      <c r="L348" s="17" t="inlineStr">
        <is>
          <t>Paid</t>
        </is>
      </c>
      <c r="M348" s="17" t="n">
        <v>37</v>
      </c>
      <c r="N348" s="17" t="inlineStr">
        <is>
          <t>No</t>
        </is>
      </c>
      <c r="O348" s="17">
        <f>TEXT(G348,"yyyy-mm")</f>
        <v/>
      </c>
      <c r="P348" s="17">
        <f>IF(H348&lt;20,"Low",IF(H348&lt;=60,"Medium","High"))</f>
        <v/>
      </c>
      <c r="Q348" s="17">
        <f>IF(I348&gt;0,"Yes","No")</f>
        <v/>
      </c>
      <c r="R348" s="17">
        <f>IF(N348="Yes",1,0)</f>
        <v/>
      </c>
      <c r="S348" s="17">
        <f>IF(N348=IF(OR(H348&gt;150,I348&gt;40),"Yes","No"),"Match","Mismatch")</f>
        <v/>
      </c>
    </row>
    <row r="349">
      <c r="A349" s="17" t="inlineStr">
        <is>
          <t>S00012</t>
        </is>
      </c>
      <c r="B349" s="17" t="inlineStr">
        <is>
          <t>P7407</t>
        </is>
      </c>
      <c r="C349" s="17" t="inlineStr">
        <is>
          <t>jacobhaynes</t>
        </is>
      </c>
      <c r="D349" s="17" t="inlineStr">
        <is>
          <t>Zombie Rush</t>
        </is>
      </c>
      <c r="E349" s="17" t="inlineStr">
        <is>
          <t>PC</t>
        </is>
      </c>
      <c r="F349" s="17" t="inlineStr">
        <is>
          <t>North</t>
        </is>
      </c>
      <c r="G349" s="18" t="n">
        <v>45768</v>
      </c>
      <c r="H349" s="17" t="n">
        <v>142</v>
      </c>
      <c r="I349" s="17" t="n">
        <v>0</v>
      </c>
      <c r="J349" s="17" t="inlineStr">
        <is>
          <t>No Purchase</t>
        </is>
      </c>
      <c r="K349" s="17" t="inlineStr">
        <is>
          <t>Completed</t>
        </is>
      </c>
      <c r="L349" s="17" t="inlineStr">
        <is>
          <t>Free</t>
        </is>
      </c>
      <c r="M349" s="17" t="n">
        <v>23</v>
      </c>
      <c r="N349" s="17" t="inlineStr">
        <is>
          <t>No</t>
        </is>
      </c>
      <c r="O349" s="17">
        <f>TEXT(G349,"yyyy-mm")</f>
        <v/>
      </c>
      <c r="P349" s="17">
        <f>IF(H349&lt;20,"Low",IF(H349&lt;=60,"Medium","High"))</f>
        <v/>
      </c>
      <c r="Q349" s="17">
        <f>IF(I349&gt;0,"Yes","No")</f>
        <v/>
      </c>
      <c r="R349" s="17">
        <f>IF(N349="Yes",1,0)</f>
        <v/>
      </c>
      <c r="S349" s="17">
        <f>IF(N349=IF(OR(H349&gt;150,I349&gt;40),"Yes","No"),"Match","Mismatch")</f>
        <v/>
      </c>
    </row>
    <row r="350">
      <c r="A350" s="17" t="inlineStr">
        <is>
          <t>S00144</t>
        </is>
      </c>
      <c r="B350" s="17" t="inlineStr">
        <is>
          <t>P2317</t>
        </is>
      </c>
      <c r="C350" s="17" t="inlineStr">
        <is>
          <t>robertohobbs</t>
        </is>
      </c>
      <c r="D350" s="17" t="inlineStr">
        <is>
          <t>Zombie Rush</t>
        </is>
      </c>
      <c r="E350" s="17" t="inlineStr">
        <is>
          <t>Console</t>
        </is>
      </c>
      <c r="F350" s="17" t="inlineStr">
        <is>
          <t>West</t>
        </is>
      </c>
      <c r="G350" s="18" t="n">
        <v>45769</v>
      </c>
      <c r="H350" s="17" t="n">
        <v>83</v>
      </c>
      <c r="I350" s="17" t="n">
        <v>0</v>
      </c>
      <c r="J350" s="17" t="inlineStr">
        <is>
          <t>No Purchase</t>
        </is>
      </c>
      <c r="K350" s="17" t="inlineStr">
        <is>
          <t>Completed</t>
        </is>
      </c>
      <c r="L350" s="17" t="inlineStr">
        <is>
          <t>Free</t>
        </is>
      </c>
      <c r="M350" s="17" t="n">
        <v>25</v>
      </c>
      <c r="N350" s="17" t="inlineStr">
        <is>
          <t>No</t>
        </is>
      </c>
      <c r="O350" s="17">
        <f>TEXT(G350,"yyyy-mm")</f>
        <v/>
      </c>
      <c r="P350" s="17">
        <f>IF(H350&lt;20,"Low",IF(H350&lt;=60,"Medium","High"))</f>
        <v/>
      </c>
      <c r="Q350" s="17">
        <f>IF(I350&gt;0,"Yes","No")</f>
        <v/>
      </c>
      <c r="R350" s="17">
        <f>IF(N350="Yes",1,0)</f>
        <v/>
      </c>
      <c r="S350" s="17">
        <f>IF(N350=IF(OR(H350&gt;150,I350&gt;40),"Yes","No"),"Match","Mismatch")</f>
        <v/>
      </c>
    </row>
    <row r="351">
      <c r="A351" s="17" t="inlineStr">
        <is>
          <t>S00019</t>
        </is>
      </c>
      <c r="B351" s="17" t="inlineStr">
        <is>
          <t>P8261</t>
        </is>
      </c>
      <c r="C351" s="17" t="inlineStr">
        <is>
          <t>lmeza</t>
        </is>
      </c>
      <c r="D351" s="17" t="inlineStr">
        <is>
          <t>SpeedX</t>
        </is>
      </c>
      <c r="E351" s="17" t="inlineStr">
        <is>
          <t>Mobile</t>
        </is>
      </c>
      <c r="F351" s="17" t="inlineStr">
        <is>
          <t>North</t>
        </is>
      </c>
      <c r="G351" s="18" t="n">
        <v>45769</v>
      </c>
      <c r="H351" s="17" t="n">
        <v>49</v>
      </c>
      <c r="I351" s="17" t="n">
        <v>0</v>
      </c>
      <c r="J351" s="17" t="inlineStr">
        <is>
          <t>No Purchase</t>
        </is>
      </c>
      <c r="K351" s="17" t="inlineStr">
        <is>
          <t>Exited Early</t>
        </is>
      </c>
      <c r="L351" s="17" t="inlineStr">
        <is>
          <t>Free</t>
        </is>
      </c>
      <c r="M351" s="17" t="n">
        <v>47</v>
      </c>
      <c r="N351" s="17" t="inlineStr">
        <is>
          <t>No</t>
        </is>
      </c>
      <c r="O351" s="17">
        <f>TEXT(G351,"yyyy-mm")</f>
        <v/>
      </c>
      <c r="P351" s="17">
        <f>IF(H351&lt;20,"Low",IF(H351&lt;=60,"Medium","High"))</f>
        <v/>
      </c>
      <c r="Q351" s="17">
        <f>IF(I351&gt;0,"Yes","No")</f>
        <v/>
      </c>
      <c r="R351" s="17">
        <f>IF(N351="Yes",1,0)</f>
        <v/>
      </c>
      <c r="S351" s="17">
        <f>IF(N351=IF(OR(H351&gt;150,I351&gt;40),"Yes","No"),"Match","Mismatch")</f>
        <v/>
      </c>
    </row>
    <row r="352">
      <c r="A352" s="17" t="inlineStr">
        <is>
          <t>S00092</t>
        </is>
      </c>
      <c r="B352" s="17" t="inlineStr">
        <is>
          <t>P2205</t>
        </is>
      </c>
      <c r="C352" s="17" t="inlineStr">
        <is>
          <t>smullins</t>
        </is>
      </c>
      <c r="D352" s="17" t="inlineStr">
        <is>
          <t>BattleZone</t>
        </is>
      </c>
      <c r="E352" s="17" t="inlineStr">
        <is>
          <t>Console</t>
        </is>
      </c>
      <c r="F352" s="17" t="inlineStr">
        <is>
          <t>South</t>
        </is>
      </c>
      <c r="G352" s="18" t="n">
        <v>45770</v>
      </c>
      <c r="H352" s="17" t="n">
        <v>81</v>
      </c>
      <c r="I352" s="17" t="n">
        <v>0</v>
      </c>
      <c r="J352" s="17" t="inlineStr">
        <is>
          <t>No Purchase</t>
        </is>
      </c>
      <c r="K352" s="17" t="inlineStr">
        <is>
          <t>Crashed</t>
        </is>
      </c>
      <c r="L352" s="17" t="inlineStr">
        <is>
          <t>Free</t>
        </is>
      </c>
      <c r="M352" s="17" t="n">
        <v>46</v>
      </c>
      <c r="N352" s="17" t="inlineStr">
        <is>
          <t>No</t>
        </is>
      </c>
      <c r="O352" s="17">
        <f>TEXT(G352,"yyyy-mm")</f>
        <v/>
      </c>
      <c r="P352" s="17">
        <f>IF(H352&lt;20,"Low",IF(H352&lt;=60,"Medium","High"))</f>
        <v/>
      </c>
      <c r="Q352" s="17">
        <f>IF(I352&gt;0,"Yes","No")</f>
        <v/>
      </c>
      <c r="R352" s="17">
        <f>IF(N352="Yes",1,0)</f>
        <v/>
      </c>
      <c r="S352" s="17">
        <f>IF(N352=IF(OR(H352&gt;150,I352&gt;40),"Yes","No"),"Match","Mismatch")</f>
        <v/>
      </c>
    </row>
    <row r="353">
      <c r="A353" s="17" t="inlineStr">
        <is>
          <t>S00147</t>
        </is>
      </c>
      <c r="B353" s="17" t="inlineStr">
        <is>
          <t>P2026</t>
        </is>
      </c>
      <c r="C353" s="17" t="inlineStr">
        <is>
          <t>manuel15</t>
        </is>
      </c>
      <c r="D353" s="17" t="inlineStr">
        <is>
          <t>SpeedX</t>
        </is>
      </c>
      <c r="E353" s="17" t="inlineStr">
        <is>
          <t>PC</t>
        </is>
      </c>
      <c r="F353" s="17" t="inlineStr">
        <is>
          <t>North</t>
        </is>
      </c>
      <c r="G353" s="18" t="n">
        <v>45770</v>
      </c>
      <c r="H353" s="17" t="n">
        <v>136</v>
      </c>
      <c r="I353" s="17" t="n">
        <v>0</v>
      </c>
      <c r="J353" s="17" t="inlineStr">
        <is>
          <t>No Purchase</t>
        </is>
      </c>
      <c r="K353" s="17" t="inlineStr">
        <is>
          <t>Completed</t>
        </is>
      </c>
      <c r="L353" s="17" t="inlineStr">
        <is>
          <t>Free</t>
        </is>
      </c>
      <c r="M353" s="17" t="n">
        <v>23</v>
      </c>
      <c r="N353" s="17" t="inlineStr">
        <is>
          <t>No</t>
        </is>
      </c>
      <c r="O353" s="17">
        <f>TEXT(G353,"yyyy-mm")</f>
        <v/>
      </c>
      <c r="P353" s="17">
        <f>IF(H353&lt;20,"Low",IF(H353&lt;=60,"Medium","High"))</f>
        <v/>
      </c>
      <c r="Q353" s="17">
        <f>IF(I353&gt;0,"Yes","No")</f>
        <v/>
      </c>
      <c r="R353" s="17">
        <f>IF(N353="Yes",1,0)</f>
        <v/>
      </c>
      <c r="S353" s="17">
        <f>IF(N353=IF(OR(H353&gt;150,I353&gt;40),"Yes","No"),"Match","Mismatch")</f>
        <v/>
      </c>
    </row>
    <row r="354">
      <c r="A354" s="17" t="inlineStr">
        <is>
          <t>S00273</t>
        </is>
      </c>
      <c r="B354" s="17" t="inlineStr">
        <is>
          <t>P5122</t>
        </is>
      </c>
      <c r="C354" s="17" t="inlineStr">
        <is>
          <t>ronaldkennedy</t>
        </is>
      </c>
      <c r="D354" s="17" t="inlineStr">
        <is>
          <t>BattleZone</t>
        </is>
      </c>
      <c r="E354" s="17" t="inlineStr">
        <is>
          <t>PC</t>
        </is>
      </c>
      <c r="F354" s="17" t="inlineStr">
        <is>
          <t>North</t>
        </is>
      </c>
      <c r="G354" s="18" t="n">
        <v>45770</v>
      </c>
      <c r="H354" s="17" t="n">
        <v>52</v>
      </c>
      <c r="I354" s="17" t="n">
        <v>0</v>
      </c>
      <c r="J354" s="17" t="inlineStr">
        <is>
          <t>No Purchase</t>
        </is>
      </c>
      <c r="K354" s="17" t="inlineStr">
        <is>
          <t>Completed</t>
        </is>
      </c>
      <c r="L354" s="17" t="inlineStr">
        <is>
          <t>Free</t>
        </is>
      </c>
      <c r="M354" s="17" t="n">
        <v>3</v>
      </c>
      <c r="N354" s="17" t="inlineStr">
        <is>
          <t>No</t>
        </is>
      </c>
      <c r="O354" s="17">
        <f>TEXT(G354,"yyyy-mm")</f>
        <v/>
      </c>
      <c r="P354" s="17">
        <f>IF(H354&lt;20,"Low",IF(H354&lt;=60,"Medium","High"))</f>
        <v/>
      </c>
      <c r="Q354" s="17">
        <f>IF(I354&gt;0,"Yes","No")</f>
        <v/>
      </c>
      <c r="R354" s="17">
        <f>IF(N354="Yes",1,0)</f>
        <v/>
      </c>
      <c r="S354" s="17">
        <f>IF(N354=IF(OR(H354&gt;150,I354&gt;40),"Yes","No"),"Match","Mismatch")</f>
        <v/>
      </c>
    </row>
    <row r="355">
      <c r="A355" s="17" t="inlineStr">
        <is>
          <t>S00355</t>
        </is>
      </c>
      <c r="B355" s="17" t="inlineStr">
        <is>
          <t>P2102</t>
        </is>
      </c>
      <c r="C355" s="17" t="inlineStr">
        <is>
          <t>sarahlawrence</t>
        </is>
      </c>
      <c r="D355" s="17" t="inlineStr">
        <is>
          <t>Zombie Rush</t>
        </is>
      </c>
      <c r="E355" s="17" t="inlineStr">
        <is>
          <t>Console</t>
        </is>
      </c>
      <c r="F355" s="17" t="inlineStr">
        <is>
          <t>South</t>
        </is>
      </c>
      <c r="G355" s="18" t="n">
        <v>45770</v>
      </c>
      <c r="H355" s="17" t="n">
        <v>41</v>
      </c>
      <c r="I355" s="17" t="n">
        <v>0</v>
      </c>
      <c r="J355" s="17" t="inlineStr">
        <is>
          <t>No Purchase</t>
        </is>
      </c>
      <c r="K355" s="17" t="inlineStr">
        <is>
          <t>Completed</t>
        </is>
      </c>
      <c r="L355" s="17" t="inlineStr">
        <is>
          <t>Free</t>
        </is>
      </c>
      <c r="M355" s="17" t="n">
        <v>27</v>
      </c>
      <c r="N355" s="17" t="inlineStr">
        <is>
          <t>No</t>
        </is>
      </c>
      <c r="O355" s="17">
        <f>TEXT(G355,"yyyy-mm")</f>
        <v/>
      </c>
      <c r="P355" s="17">
        <f>IF(H355&lt;20,"Low",IF(H355&lt;=60,"Medium","High"))</f>
        <v/>
      </c>
      <c r="Q355" s="17">
        <f>IF(I355&gt;0,"Yes","No")</f>
        <v/>
      </c>
      <c r="R355" s="17">
        <f>IF(N355="Yes",1,0)</f>
        <v/>
      </c>
      <c r="S355" s="17">
        <f>IF(N355=IF(OR(H355&gt;150,I355&gt;40),"Yes","No"),"Match","Mismatch")</f>
        <v/>
      </c>
    </row>
    <row r="356">
      <c r="A356" s="17" t="inlineStr">
        <is>
          <t>S00291</t>
        </is>
      </c>
      <c r="B356" s="17" t="inlineStr">
        <is>
          <t>P6223</t>
        </is>
      </c>
      <c r="C356" s="17" t="inlineStr">
        <is>
          <t>raymondjenna</t>
        </is>
      </c>
      <c r="D356" s="17" t="inlineStr">
        <is>
          <t>SpeedX</t>
        </is>
      </c>
      <c r="E356" s="17" t="inlineStr">
        <is>
          <t>PC</t>
        </is>
      </c>
      <c r="F356" s="17" t="inlineStr">
        <is>
          <t>North-East</t>
        </is>
      </c>
      <c r="G356" s="18" t="n">
        <v>45771</v>
      </c>
      <c r="H356" s="17" t="n">
        <v>66</v>
      </c>
      <c r="I356" s="17" t="n">
        <v>0</v>
      </c>
      <c r="J356" s="17" t="inlineStr">
        <is>
          <t>No Purchase</t>
        </is>
      </c>
      <c r="K356" s="17" t="inlineStr">
        <is>
          <t>Exited Early</t>
        </is>
      </c>
      <c r="L356" s="17" t="inlineStr">
        <is>
          <t>Free</t>
        </is>
      </c>
      <c r="M356" s="17" t="n">
        <v>4</v>
      </c>
      <c r="N356" s="17" t="inlineStr">
        <is>
          <t>No</t>
        </is>
      </c>
      <c r="O356" s="17">
        <f>TEXT(G356,"yyyy-mm")</f>
        <v/>
      </c>
      <c r="P356" s="17">
        <f>IF(H356&lt;20,"Low",IF(H356&lt;=60,"Medium","High"))</f>
        <v/>
      </c>
      <c r="Q356" s="17">
        <f>IF(I356&gt;0,"Yes","No")</f>
        <v/>
      </c>
      <c r="R356" s="17">
        <f>IF(N356="Yes",1,0)</f>
        <v/>
      </c>
      <c r="S356" s="17">
        <f>IF(N356=IF(OR(H356&gt;150,I356&gt;40),"Yes","No"),"Match","Mismatch")</f>
        <v/>
      </c>
    </row>
    <row r="357">
      <c r="A357" s="17" t="inlineStr">
        <is>
          <t>S00059</t>
        </is>
      </c>
      <c r="B357" s="17" t="inlineStr">
        <is>
          <t>P1110</t>
        </is>
      </c>
      <c r="C357" s="17" t="inlineStr">
        <is>
          <t>joseph32</t>
        </is>
      </c>
      <c r="D357" s="17" t="inlineStr">
        <is>
          <t>BattleZone</t>
        </is>
      </c>
      <c r="E357" s="17" t="inlineStr">
        <is>
          <t>PC</t>
        </is>
      </c>
      <c r="F357" s="17" t="inlineStr">
        <is>
          <t>East</t>
        </is>
      </c>
      <c r="G357" s="18" t="n">
        <v>45771</v>
      </c>
      <c r="H357" s="17" t="n">
        <v>76</v>
      </c>
      <c r="I357" s="17" t="n">
        <v>0</v>
      </c>
      <c r="J357" s="17" t="inlineStr">
        <is>
          <t>No Purchase</t>
        </is>
      </c>
      <c r="K357" s="17" t="inlineStr">
        <is>
          <t>Completed</t>
        </is>
      </c>
      <c r="L357" s="17" t="inlineStr">
        <is>
          <t>Free</t>
        </is>
      </c>
      <c r="M357" s="17" t="n">
        <v>41</v>
      </c>
      <c r="N357" s="17" t="inlineStr">
        <is>
          <t>No</t>
        </is>
      </c>
      <c r="O357" s="17">
        <f>TEXT(G357,"yyyy-mm")</f>
        <v/>
      </c>
      <c r="P357" s="17">
        <f>IF(H357&lt;20,"Low",IF(H357&lt;=60,"Medium","High"))</f>
        <v/>
      </c>
      <c r="Q357" s="17">
        <f>IF(I357&gt;0,"Yes","No")</f>
        <v/>
      </c>
      <c r="R357" s="17">
        <f>IF(N357="Yes",1,0)</f>
        <v/>
      </c>
      <c r="S357" s="17">
        <f>IF(N357=IF(OR(H357&gt;150,I357&gt;40),"Yes","No"),"Match","Mismatch")</f>
        <v/>
      </c>
    </row>
    <row r="358">
      <c r="A358" s="17" t="inlineStr">
        <is>
          <t>S00368</t>
        </is>
      </c>
      <c r="B358" s="17" t="inlineStr">
        <is>
          <t>P4682</t>
        </is>
      </c>
      <c r="C358" s="17" t="inlineStr">
        <is>
          <t>aryan</t>
        </is>
      </c>
      <c r="D358" s="17" t="inlineStr">
        <is>
          <t>BattleZone</t>
        </is>
      </c>
      <c r="E358" s="17" t="inlineStr">
        <is>
          <t>Mobile</t>
        </is>
      </c>
      <c r="F358" s="17" t="inlineStr">
        <is>
          <t>South</t>
        </is>
      </c>
      <c r="G358" s="18" t="n">
        <v>45772</v>
      </c>
      <c r="H358" s="17" t="n">
        <v>161</v>
      </c>
      <c r="I358" s="17" t="n">
        <v>0</v>
      </c>
      <c r="J358" s="17" t="inlineStr">
        <is>
          <t>No Purchase</t>
        </is>
      </c>
      <c r="K358" s="17" t="inlineStr">
        <is>
          <t>Completed</t>
        </is>
      </c>
      <c r="L358" s="17" t="inlineStr">
        <is>
          <t>Free</t>
        </is>
      </c>
      <c r="M358" s="17" t="n">
        <v>25</v>
      </c>
      <c r="N358" s="17" t="inlineStr">
        <is>
          <t>Yes</t>
        </is>
      </c>
      <c r="O358" s="17">
        <f>TEXT(G358,"yyyy-mm")</f>
        <v/>
      </c>
      <c r="P358" s="17">
        <f>IF(H358&lt;20,"Low",IF(H358&lt;=60,"Medium","High"))</f>
        <v/>
      </c>
      <c r="Q358" s="17">
        <f>IF(I358&gt;0,"Yes","No")</f>
        <v/>
      </c>
      <c r="R358" s="17">
        <f>IF(N358="Yes",1,0)</f>
        <v/>
      </c>
      <c r="S358" s="17">
        <f>IF(N358=IF(OR(H358&gt;150,I358&gt;40),"Yes","No"),"Match","Mismatch")</f>
        <v/>
      </c>
    </row>
    <row r="359">
      <c r="A359" s="17" t="inlineStr">
        <is>
          <t>S00248</t>
        </is>
      </c>
      <c r="B359" s="17" t="inlineStr">
        <is>
          <t>P2659</t>
        </is>
      </c>
      <c r="C359" s="17" t="inlineStr">
        <is>
          <t>joshuasmith</t>
        </is>
      </c>
      <c r="D359" s="17" t="inlineStr">
        <is>
          <t>SpeedX</t>
        </is>
      </c>
      <c r="E359" s="17" t="inlineStr">
        <is>
          <t>Mobile</t>
        </is>
      </c>
      <c r="F359" s="17" t="inlineStr">
        <is>
          <t>West</t>
        </is>
      </c>
      <c r="G359" s="18" t="n">
        <v>45772</v>
      </c>
      <c r="H359" s="17" t="n">
        <v>91</v>
      </c>
      <c r="I359" s="17" t="n">
        <v>0</v>
      </c>
      <c r="J359" s="17" t="inlineStr">
        <is>
          <t>No Purchase</t>
        </is>
      </c>
      <c r="K359" s="17" t="inlineStr">
        <is>
          <t>Exited Early</t>
        </is>
      </c>
      <c r="L359" s="17" t="inlineStr">
        <is>
          <t>Free</t>
        </is>
      </c>
      <c r="M359" s="17" t="n">
        <v>44</v>
      </c>
      <c r="N359" s="17" t="inlineStr">
        <is>
          <t>No</t>
        </is>
      </c>
      <c r="O359" s="17">
        <f>TEXT(G359,"yyyy-mm")</f>
        <v/>
      </c>
      <c r="P359" s="17">
        <f>IF(H359&lt;20,"Low",IF(H359&lt;=60,"Medium","High"))</f>
        <v/>
      </c>
      <c r="Q359" s="17">
        <f>IF(I359&gt;0,"Yes","No")</f>
        <v/>
      </c>
      <c r="R359" s="17">
        <f>IF(N359="Yes",1,0)</f>
        <v/>
      </c>
      <c r="S359" s="17">
        <f>IF(N359=IF(OR(H359&gt;150,I359&gt;40),"Yes","No"),"Match","Mismatch")</f>
        <v/>
      </c>
    </row>
    <row r="360">
      <c r="A360" s="17" t="inlineStr">
        <is>
          <t>S00435</t>
        </is>
      </c>
      <c r="B360" s="17" t="inlineStr">
        <is>
          <t>P2996</t>
        </is>
      </c>
      <c r="C360" s="17" t="inlineStr">
        <is>
          <t>linda22</t>
        </is>
      </c>
      <c r="D360" s="17" t="inlineStr">
        <is>
          <t>Zombie Rush</t>
        </is>
      </c>
      <c r="E360" s="17" t="inlineStr">
        <is>
          <t>Console</t>
        </is>
      </c>
      <c r="F360" s="17" t="inlineStr">
        <is>
          <t>South</t>
        </is>
      </c>
      <c r="G360" s="18" t="n">
        <v>45773</v>
      </c>
      <c r="H360" s="17" t="n">
        <v>101</v>
      </c>
      <c r="I360" s="17" t="n">
        <v>0</v>
      </c>
      <c r="J360" s="17" t="inlineStr">
        <is>
          <t>No Purchase</t>
        </is>
      </c>
      <c r="K360" s="17" t="inlineStr">
        <is>
          <t>Completed</t>
        </is>
      </c>
      <c r="L360" s="17" t="inlineStr">
        <is>
          <t>Free</t>
        </is>
      </c>
      <c r="M360" s="17" t="n">
        <v>15</v>
      </c>
      <c r="N360" s="17" t="inlineStr">
        <is>
          <t>No</t>
        </is>
      </c>
      <c r="O360" s="17">
        <f>TEXT(G360,"yyyy-mm")</f>
        <v/>
      </c>
      <c r="P360" s="17">
        <f>IF(H360&lt;20,"Low",IF(H360&lt;=60,"Medium","High"))</f>
        <v/>
      </c>
      <c r="Q360" s="17">
        <f>IF(I360&gt;0,"Yes","No")</f>
        <v/>
      </c>
      <c r="R360" s="17">
        <f>IF(N360="Yes",1,0)</f>
        <v/>
      </c>
      <c r="S360" s="17">
        <f>IF(N360=IF(OR(H360&gt;150,I360&gt;40),"Yes","No"),"Match","Mismatch")</f>
        <v/>
      </c>
    </row>
    <row r="361">
      <c r="A361" s="17" t="inlineStr">
        <is>
          <t>S00480</t>
        </is>
      </c>
      <c r="B361" s="17" t="inlineStr">
        <is>
          <t>P7340</t>
        </is>
      </c>
      <c r="C361" s="17" t="inlineStr">
        <is>
          <t>rogersmary</t>
        </is>
      </c>
      <c r="D361" s="17" t="inlineStr">
        <is>
          <t>BattleZone</t>
        </is>
      </c>
      <c r="E361" s="17" t="inlineStr">
        <is>
          <t>Console</t>
        </is>
      </c>
      <c r="F361" s="17" t="inlineStr">
        <is>
          <t>West</t>
        </is>
      </c>
      <c r="G361" s="18" t="n">
        <v>45773</v>
      </c>
      <c r="H361" s="17" t="n">
        <v>44</v>
      </c>
      <c r="I361" s="17" t="n">
        <v>0</v>
      </c>
      <c r="J361" s="17" t="inlineStr">
        <is>
          <t>No Purchase</t>
        </is>
      </c>
      <c r="K361" s="17" t="inlineStr">
        <is>
          <t>Incomplete</t>
        </is>
      </c>
      <c r="L361" s="17" t="inlineStr">
        <is>
          <t>Free</t>
        </is>
      </c>
      <c r="M361" s="17" t="n">
        <v>29</v>
      </c>
      <c r="N361" s="17" t="inlineStr">
        <is>
          <t>No</t>
        </is>
      </c>
      <c r="O361" s="17">
        <f>TEXT(G361,"yyyy-mm")</f>
        <v/>
      </c>
      <c r="P361" s="17">
        <f>IF(H361&lt;20,"Low",IF(H361&lt;=60,"Medium","High"))</f>
        <v/>
      </c>
      <c r="Q361" s="17">
        <f>IF(I361&gt;0,"Yes","No")</f>
        <v/>
      </c>
      <c r="R361" s="17">
        <f>IF(N361="Yes",1,0)</f>
        <v/>
      </c>
      <c r="S361" s="17">
        <f>IF(N361=IF(OR(H361&gt;150,I361&gt;40),"Yes","No"),"Match","Mismatch")</f>
        <v/>
      </c>
    </row>
    <row r="362">
      <c r="A362" s="17" t="inlineStr">
        <is>
          <t>S00138</t>
        </is>
      </c>
      <c r="B362" s="17" t="inlineStr">
        <is>
          <t>P8823</t>
        </is>
      </c>
      <c r="C362" s="17" t="inlineStr">
        <is>
          <t>timothy18</t>
        </is>
      </c>
      <c r="D362" s="17" t="inlineStr">
        <is>
          <t>BattleZone</t>
        </is>
      </c>
      <c r="E362" s="17" t="inlineStr">
        <is>
          <t>PC</t>
        </is>
      </c>
      <c r="F362" s="17" t="inlineStr">
        <is>
          <t>North</t>
        </is>
      </c>
      <c r="G362" s="18" t="n">
        <v>45774</v>
      </c>
      <c r="H362" s="17" t="n">
        <v>72</v>
      </c>
      <c r="I362" s="17" t="n">
        <v>0</v>
      </c>
      <c r="J362" s="17" t="inlineStr">
        <is>
          <t>No Purchase</t>
        </is>
      </c>
      <c r="K362" s="17" t="inlineStr">
        <is>
          <t>Completed</t>
        </is>
      </c>
      <c r="L362" s="17" t="inlineStr">
        <is>
          <t>Paid</t>
        </is>
      </c>
      <c r="M362" s="17" t="n">
        <v>6</v>
      </c>
      <c r="N362" s="17" t="inlineStr">
        <is>
          <t>No</t>
        </is>
      </c>
      <c r="O362" s="17">
        <f>TEXT(G362,"yyyy-mm")</f>
        <v/>
      </c>
      <c r="P362" s="17">
        <f>IF(H362&lt;20,"Low",IF(H362&lt;=60,"Medium","High"))</f>
        <v/>
      </c>
      <c r="Q362" s="17">
        <f>IF(I362&gt;0,"Yes","No")</f>
        <v/>
      </c>
      <c r="R362" s="17">
        <f>IF(N362="Yes",1,0)</f>
        <v/>
      </c>
      <c r="S362" s="17">
        <f>IF(N362=IF(OR(H362&gt;150,I362&gt;40),"Yes","No"),"Match","Mismatch")</f>
        <v/>
      </c>
    </row>
    <row r="363">
      <c r="A363" s="17" t="inlineStr">
        <is>
          <t>S00374</t>
        </is>
      </c>
      <c r="B363" s="17" t="inlineStr">
        <is>
          <t>P1603</t>
        </is>
      </c>
      <c r="C363" s="17" t="inlineStr">
        <is>
          <t>rojasjennifer</t>
        </is>
      </c>
      <c r="D363" s="17" t="inlineStr">
        <is>
          <t>Zombie Rush</t>
        </is>
      </c>
      <c r="E363" s="17" t="inlineStr">
        <is>
          <t>PC</t>
        </is>
      </c>
      <c r="F363" s="17" t="inlineStr">
        <is>
          <t>West</t>
        </is>
      </c>
      <c r="G363" s="18" t="n">
        <v>45775</v>
      </c>
      <c r="H363" s="17" t="n">
        <v>59</v>
      </c>
      <c r="I363" s="17" t="n">
        <v>0</v>
      </c>
      <c r="J363" s="17" t="inlineStr">
        <is>
          <t>No Purchase</t>
        </is>
      </c>
      <c r="K363" s="17" t="inlineStr">
        <is>
          <t>Completed</t>
        </is>
      </c>
      <c r="L363" s="17" t="inlineStr">
        <is>
          <t>Free</t>
        </is>
      </c>
      <c r="M363" s="17" t="n">
        <v>36</v>
      </c>
      <c r="N363" s="17" t="inlineStr">
        <is>
          <t>No</t>
        </is>
      </c>
      <c r="O363" s="17">
        <f>TEXT(G363,"yyyy-mm")</f>
        <v/>
      </c>
      <c r="P363" s="17">
        <f>IF(H363&lt;20,"Low",IF(H363&lt;=60,"Medium","High"))</f>
        <v/>
      </c>
      <c r="Q363" s="17">
        <f>IF(I363&gt;0,"Yes","No")</f>
        <v/>
      </c>
      <c r="R363" s="17">
        <f>IF(N363="Yes",1,0)</f>
        <v/>
      </c>
      <c r="S363" s="17">
        <f>IF(N363=IF(OR(H363&gt;150,I363&gt;40),"Yes","No"),"Match","Mismatch")</f>
        <v/>
      </c>
    </row>
    <row r="364">
      <c r="A364" s="17" t="inlineStr">
        <is>
          <t>S00221</t>
        </is>
      </c>
      <c r="B364" s="17" t="inlineStr">
        <is>
          <t>P1073</t>
        </is>
      </c>
      <c r="C364" s="17" t="inlineStr">
        <is>
          <t>shawna86</t>
        </is>
      </c>
      <c r="D364" s="17" t="inlineStr">
        <is>
          <t>Clash of Realms</t>
        </is>
      </c>
      <c r="E364" s="17" t="inlineStr">
        <is>
          <t>PC</t>
        </is>
      </c>
      <c r="F364" s="17" t="inlineStr">
        <is>
          <t>Central</t>
        </is>
      </c>
      <c r="G364" s="18" t="n">
        <v>45775</v>
      </c>
      <c r="H364" s="17" t="n">
        <v>105</v>
      </c>
      <c r="I364" s="17" t="n">
        <v>0</v>
      </c>
      <c r="J364" s="17" t="inlineStr">
        <is>
          <t>No Purchase</t>
        </is>
      </c>
      <c r="K364" s="17" t="inlineStr">
        <is>
          <t>Completed</t>
        </is>
      </c>
      <c r="L364" s="17" t="inlineStr">
        <is>
          <t>Free</t>
        </is>
      </c>
      <c r="M364" s="17" t="n">
        <v>38</v>
      </c>
      <c r="N364" s="17" t="inlineStr">
        <is>
          <t>No</t>
        </is>
      </c>
      <c r="O364" s="17">
        <f>TEXT(G364,"yyyy-mm")</f>
        <v/>
      </c>
      <c r="P364" s="17">
        <f>IF(H364&lt;20,"Low",IF(H364&lt;=60,"Medium","High"))</f>
        <v/>
      </c>
      <c r="Q364" s="17">
        <f>IF(I364&gt;0,"Yes","No")</f>
        <v/>
      </c>
      <c r="R364" s="17">
        <f>IF(N364="Yes",1,0)</f>
        <v/>
      </c>
      <c r="S364" s="17">
        <f>IF(N364=IF(OR(H364&gt;150,I364&gt;40),"Yes","No"),"Match","Mismatch")</f>
        <v/>
      </c>
    </row>
    <row r="365">
      <c r="A365" s="17" t="inlineStr">
        <is>
          <t>S00315</t>
        </is>
      </c>
      <c r="B365" s="17" t="inlineStr">
        <is>
          <t>P6685</t>
        </is>
      </c>
      <c r="C365" s="17" t="inlineStr">
        <is>
          <t>coreyperez</t>
        </is>
      </c>
      <c r="D365" s="17" t="inlineStr">
        <is>
          <t>BattleZone</t>
        </is>
      </c>
      <c r="E365" s="17" t="inlineStr">
        <is>
          <t>Console</t>
        </is>
      </c>
      <c r="F365" s="17" t="inlineStr">
        <is>
          <t>North</t>
        </is>
      </c>
      <c r="G365" s="18" t="n">
        <v>45776</v>
      </c>
      <c r="H365" s="17" t="n">
        <v>140</v>
      </c>
      <c r="I365" s="17" t="n">
        <v>0</v>
      </c>
      <c r="J365" s="17" t="inlineStr">
        <is>
          <t>No Purchase</t>
        </is>
      </c>
      <c r="K365" s="17" t="inlineStr">
        <is>
          <t>Completed</t>
        </is>
      </c>
      <c r="L365" s="17" t="inlineStr">
        <is>
          <t>Free</t>
        </is>
      </c>
      <c r="M365" s="17" t="n">
        <v>1</v>
      </c>
      <c r="N365" s="17" t="inlineStr">
        <is>
          <t>No</t>
        </is>
      </c>
      <c r="O365" s="17">
        <f>TEXT(G365,"yyyy-mm")</f>
        <v/>
      </c>
      <c r="P365" s="17">
        <f>IF(H365&lt;20,"Low",IF(H365&lt;=60,"Medium","High"))</f>
        <v/>
      </c>
      <c r="Q365" s="17">
        <f>IF(I365&gt;0,"Yes","No")</f>
        <v/>
      </c>
      <c r="R365" s="17">
        <f>IF(N365="Yes",1,0)</f>
        <v/>
      </c>
      <c r="S365" s="17">
        <f>IF(N365=IF(OR(H365&gt;150,I365&gt;40),"Yes","No"),"Match","Mismatch")</f>
        <v/>
      </c>
    </row>
    <row r="366">
      <c r="A366" s="17" t="inlineStr">
        <is>
          <t>S00383</t>
        </is>
      </c>
      <c r="B366" s="17" t="inlineStr">
        <is>
          <t>P8505</t>
        </is>
      </c>
      <c r="C366" s="17" t="inlineStr">
        <is>
          <t>derrickbuck</t>
        </is>
      </c>
      <c r="D366" s="17" t="inlineStr">
        <is>
          <t>SpeedX</t>
        </is>
      </c>
      <c r="E366" s="17" t="inlineStr">
        <is>
          <t>Console</t>
        </is>
      </c>
      <c r="F366" s="17" t="inlineStr">
        <is>
          <t>East</t>
        </is>
      </c>
      <c r="G366" s="18" t="n">
        <v>45776</v>
      </c>
      <c r="H366" s="17" t="n">
        <v>101</v>
      </c>
      <c r="I366" s="17" t="n">
        <v>0</v>
      </c>
      <c r="J366" s="17" t="inlineStr">
        <is>
          <t>No Purchase</t>
        </is>
      </c>
      <c r="K366" s="17" t="inlineStr">
        <is>
          <t>Incomplete</t>
        </is>
      </c>
      <c r="L366" s="17" t="inlineStr">
        <is>
          <t>Free</t>
        </is>
      </c>
      <c r="M366" s="17" t="n">
        <v>41</v>
      </c>
      <c r="N366" s="17" t="inlineStr">
        <is>
          <t>No</t>
        </is>
      </c>
      <c r="O366" s="17">
        <f>TEXT(G366,"yyyy-mm")</f>
        <v/>
      </c>
      <c r="P366" s="17">
        <f>IF(H366&lt;20,"Low",IF(H366&lt;=60,"Medium","High"))</f>
        <v/>
      </c>
      <c r="Q366" s="17">
        <f>IF(I366&gt;0,"Yes","No")</f>
        <v/>
      </c>
      <c r="R366" s="17">
        <f>IF(N366="Yes",1,0)</f>
        <v/>
      </c>
      <c r="S366" s="17">
        <f>IF(N366=IF(OR(H366&gt;150,I366&gt;40),"Yes","No"),"Match","Mismatch")</f>
        <v/>
      </c>
    </row>
    <row r="367">
      <c r="A367" s="17" t="inlineStr">
        <is>
          <t>S00493</t>
        </is>
      </c>
      <c r="B367" s="17" t="inlineStr">
        <is>
          <t>P2133</t>
        </is>
      </c>
      <c r="C367" s="17" t="inlineStr">
        <is>
          <t>scott72</t>
        </is>
      </c>
      <c r="D367" s="17" t="inlineStr">
        <is>
          <t>Zombie Rush</t>
        </is>
      </c>
      <c r="E367" s="17" t="inlineStr">
        <is>
          <t>PC</t>
        </is>
      </c>
      <c r="F367" s="17" t="inlineStr">
        <is>
          <t>East</t>
        </is>
      </c>
      <c r="G367" s="18" t="n">
        <v>45777</v>
      </c>
      <c r="H367" s="17" t="n">
        <v>21</v>
      </c>
      <c r="I367" s="17" t="n">
        <v>0</v>
      </c>
      <c r="J367" s="17" t="inlineStr">
        <is>
          <t>No Purchase</t>
        </is>
      </c>
      <c r="K367" s="17" t="inlineStr">
        <is>
          <t>Completed</t>
        </is>
      </c>
      <c r="L367" s="17" t="inlineStr">
        <is>
          <t>Free</t>
        </is>
      </c>
      <c r="M367" s="17" t="n">
        <v>22</v>
      </c>
      <c r="N367" s="17" t="inlineStr">
        <is>
          <t>No</t>
        </is>
      </c>
      <c r="O367" s="17">
        <f>TEXT(G367,"yyyy-mm")</f>
        <v/>
      </c>
      <c r="P367" s="17">
        <f>IF(H367&lt;20,"Low",IF(H367&lt;=60,"Medium","High"))</f>
        <v/>
      </c>
      <c r="Q367" s="17">
        <f>IF(I367&gt;0,"Yes","No")</f>
        <v/>
      </c>
      <c r="R367" s="17">
        <f>IF(N367="Yes",1,0)</f>
        <v/>
      </c>
      <c r="S367" s="17">
        <f>IF(N367=IF(OR(H367&gt;150,I367&gt;40),"Yes","No"),"Match","Mismatch")</f>
        <v/>
      </c>
    </row>
    <row r="368">
      <c r="A368" s="17" t="inlineStr">
        <is>
          <t>S00083</t>
        </is>
      </c>
      <c r="B368" s="17" t="inlineStr">
        <is>
          <t>P1366</t>
        </is>
      </c>
      <c r="C368" s="17" t="inlineStr">
        <is>
          <t>robinatkinson</t>
        </is>
      </c>
      <c r="D368" s="17" t="inlineStr">
        <is>
          <t>SpeedX</t>
        </is>
      </c>
      <c r="E368" s="17" t="inlineStr">
        <is>
          <t>PC</t>
        </is>
      </c>
      <c r="F368" s="17" t="inlineStr">
        <is>
          <t>East</t>
        </is>
      </c>
      <c r="G368" s="18" t="n">
        <v>45778</v>
      </c>
      <c r="H368" s="17" t="n">
        <v>47</v>
      </c>
      <c r="I368" s="17" t="n">
        <v>0</v>
      </c>
      <c r="J368" s="17" t="inlineStr">
        <is>
          <t>No Purchase</t>
        </is>
      </c>
      <c r="K368" s="17" t="inlineStr">
        <is>
          <t>Crashed</t>
        </is>
      </c>
      <c r="L368" s="17" t="inlineStr">
        <is>
          <t>Free</t>
        </is>
      </c>
      <c r="M368" s="17" t="n">
        <v>50</v>
      </c>
      <c r="N368" s="17" t="inlineStr">
        <is>
          <t>No</t>
        </is>
      </c>
      <c r="O368" s="17">
        <f>TEXT(G368,"yyyy-mm")</f>
        <v/>
      </c>
      <c r="P368" s="17">
        <f>IF(H368&lt;20,"Low",IF(H368&lt;=60,"Medium","High"))</f>
        <v/>
      </c>
      <c r="Q368" s="17">
        <f>IF(I368&gt;0,"Yes","No")</f>
        <v/>
      </c>
      <c r="R368" s="17">
        <f>IF(N368="Yes",1,0)</f>
        <v/>
      </c>
      <c r="S368" s="17">
        <f>IF(N368=IF(OR(H368&gt;150,I368&gt;40),"Yes","No"),"Match","Mismatch")</f>
        <v/>
      </c>
    </row>
    <row r="369">
      <c r="A369" s="17" t="inlineStr">
        <is>
          <t>S00131</t>
        </is>
      </c>
      <c r="B369" s="17" t="inlineStr">
        <is>
          <t>P6617</t>
        </is>
      </c>
      <c r="C369" s="17" t="inlineStr">
        <is>
          <t>figueroadoris</t>
        </is>
      </c>
      <c r="D369" s="17" t="inlineStr">
        <is>
          <t>Clash of Realms</t>
        </is>
      </c>
      <c r="E369" s="17" t="inlineStr">
        <is>
          <t>Mobile</t>
        </is>
      </c>
      <c r="F369" s="17" t="inlineStr">
        <is>
          <t>South</t>
        </is>
      </c>
      <c r="G369" s="18" t="n">
        <v>45778</v>
      </c>
      <c r="H369" s="17" t="n">
        <v>116</v>
      </c>
      <c r="I369" s="17" t="n">
        <v>0</v>
      </c>
      <c r="J369" s="17" t="inlineStr">
        <is>
          <t>No Purchase</t>
        </is>
      </c>
      <c r="K369" s="17" t="inlineStr">
        <is>
          <t>Crashed</t>
        </is>
      </c>
      <c r="L369" s="17" t="inlineStr">
        <is>
          <t>Free</t>
        </is>
      </c>
      <c r="M369" s="17" t="n">
        <v>30</v>
      </c>
      <c r="N369" s="17" t="inlineStr">
        <is>
          <t>No</t>
        </is>
      </c>
      <c r="O369" s="17">
        <f>TEXT(G369,"yyyy-mm")</f>
        <v/>
      </c>
      <c r="P369" s="17">
        <f>IF(H369&lt;20,"Low",IF(H369&lt;=60,"Medium","High"))</f>
        <v/>
      </c>
      <c r="Q369" s="17">
        <f>IF(I369&gt;0,"Yes","No")</f>
        <v/>
      </c>
      <c r="R369" s="17">
        <f>IF(N369="Yes",1,0)</f>
        <v/>
      </c>
      <c r="S369" s="17">
        <f>IF(N369=IF(OR(H369&gt;150,I369&gt;40),"Yes","No"),"Match","Mismatch")</f>
        <v/>
      </c>
    </row>
    <row r="370">
      <c r="A370" s="17" t="inlineStr">
        <is>
          <t>S00433</t>
        </is>
      </c>
      <c r="B370" s="17" t="inlineStr">
        <is>
          <t>P1911</t>
        </is>
      </c>
      <c r="C370" s="17" t="inlineStr">
        <is>
          <t>yvette50</t>
        </is>
      </c>
      <c r="D370" s="17" t="inlineStr">
        <is>
          <t>BattleZone</t>
        </is>
      </c>
      <c r="E370" s="17" t="inlineStr">
        <is>
          <t>Mobile</t>
        </is>
      </c>
      <c r="F370" s="17" t="inlineStr">
        <is>
          <t>Central</t>
        </is>
      </c>
      <c r="G370" s="18" t="n">
        <v>45778</v>
      </c>
      <c r="H370" s="17" t="n">
        <v>25</v>
      </c>
      <c r="I370" s="17" t="n">
        <v>0</v>
      </c>
      <c r="J370" s="17" t="inlineStr">
        <is>
          <t>No Purchase</t>
        </is>
      </c>
      <c r="K370" s="17" t="inlineStr">
        <is>
          <t>Completed</t>
        </is>
      </c>
      <c r="L370" s="17" t="inlineStr">
        <is>
          <t>Paid</t>
        </is>
      </c>
      <c r="M370" s="17" t="n">
        <v>20</v>
      </c>
      <c r="N370" s="17" t="inlineStr">
        <is>
          <t>No</t>
        </is>
      </c>
      <c r="O370" s="17">
        <f>TEXT(G370,"yyyy-mm")</f>
        <v/>
      </c>
      <c r="P370" s="17">
        <f>IF(H370&lt;20,"Low",IF(H370&lt;=60,"Medium","High"))</f>
        <v/>
      </c>
      <c r="Q370" s="17">
        <f>IF(I370&gt;0,"Yes","No")</f>
        <v/>
      </c>
      <c r="R370" s="17">
        <f>IF(N370="Yes",1,0)</f>
        <v/>
      </c>
      <c r="S370" s="17">
        <f>IF(N370=IF(OR(H370&gt;150,I370&gt;40),"Yes","No"),"Match","Mismatch")</f>
        <v/>
      </c>
    </row>
    <row r="371">
      <c r="A371" s="17" t="inlineStr">
        <is>
          <t>S00412</t>
        </is>
      </c>
      <c r="B371" s="17" t="inlineStr">
        <is>
          <t>P4171</t>
        </is>
      </c>
      <c r="C371" s="17" t="inlineStr">
        <is>
          <t>tdean</t>
        </is>
      </c>
      <c r="D371" s="17" t="inlineStr">
        <is>
          <t>SpeedX</t>
        </is>
      </c>
      <c r="E371" s="17" t="inlineStr">
        <is>
          <t>Console</t>
        </is>
      </c>
      <c r="F371" s="17" t="inlineStr">
        <is>
          <t>East</t>
        </is>
      </c>
      <c r="G371" s="18" t="n">
        <v>45779</v>
      </c>
      <c r="H371" s="17" t="n">
        <v>16</v>
      </c>
      <c r="I371" s="17" t="n">
        <v>0</v>
      </c>
      <c r="J371" s="17" t="inlineStr">
        <is>
          <t>No Purchase</t>
        </is>
      </c>
      <c r="K371" s="17" t="inlineStr">
        <is>
          <t>Completed</t>
        </is>
      </c>
      <c r="L371" s="17" t="inlineStr">
        <is>
          <t>Paid</t>
        </is>
      </c>
      <c r="M371" s="17" t="n">
        <v>16</v>
      </c>
      <c r="N371" s="17" t="inlineStr">
        <is>
          <t>No</t>
        </is>
      </c>
      <c r="O371" s="17">
        <f>TEXT(G371,"yyyy-mm")</f>
        <v/>
      </c>
      <c r="P371" s="17">
        <f>IF(H371&lt;20,"Low",IF(H371&lt;=60,"Medium","High"))</f>
        <v/>
      </c>
      <c r="Q371" s="17">
        <f>IF(I371&gt;0,"Yes","No")</f>
        <v/>
      </c>
      <c r="R371" s="17">
        <f>IF(N371="Yes",1,0)</f>
        <v/>
      </c>
      <c r="S371" s="17">
        <f>IF(N371=IF(OR(H371&gt;150,I371&gt;40),"Yes","No"),"Match","Mismatch")</f>
        <v/>
      </c>
    </row>
    <row r="372">
      <c r="A372" s="17" t="inlineStr">
        <is>
          <t>S00228</t>
        </is>
      </c>
      <c r="B372" s="17" t="inlineStr">
        <is>
          <t>P4765</t>
        </is>
      </c>
      <c r="C372" s="17" t="inlineStr">
        <is>
          <t>thomas60</t>
        </is>
      </c>
      <c r="D372" s="17" t="inlineStr">
        <is>
          <t>BattleZone</t>
        </is>
      </c>
      <c r="E372" s="17" t="inlineStr">
        <is>
          <t>Mobile</t>
        </is>
      </c>
      <c r="F372" s="17" t="inlineStr">
        <is>
          <t>South</t>
        </is>
      </c>
      <c r="G372" s="18" t="n">
        <v>45779</v>
      </c>
      <c r="H372" s="17" t="n">
        <v>30</v>
      </c>
      <c r="I372" s="17" t="n">
        <v>0</v>
      </c>
      <c r="J372" s="17" t="inlineStr">
        <is>
          <t>No Purchase</t>
        </is>
      </c>
      <c r="K372" s="17" t="inlineStr">
        <is>
          <t>Completed</t>
        </is>
      </c>
      <c r="L372" s="17" t="inlineStr">
        <is>
          <t>Free</t>
        </is>
      </c>
      <c r="M372" s="17" t="n">
        <v>20</v>
      </c>
      <c r="N372" s="17" t="inlineStr">
        <is>
          <t>No</t>
        </is>
      </c>
      <c r="O372" s="17">
        <f>TEXT(G372,"yyyy-mm")</f>
        <v/>
      </c>
      <c r="P372" s="17">
        <f>IF(H372&lt;20,"Low",IF(H372&lt;=60,"Medium","High"))</f>
        <v/>
      </c>
      <c r="Q372" s="17">
        <f>IF(I372&gt;0,"Yes","No")</f>
        <v/>
      </c>
      <c r="R372" s="17">
        <f>IF(N372="Yes",1,0)</f>
        <v/>
      </c>
      <c r="S372" s="17">
        <f>IF(N372=IF(OR(H372&gt;150,I372&gt;40),"Yes","No"),"Match","Mismatch")</f>
        <v/>
      </c>
    </row>
    <row r="373">
      <c r="A373" s="17" t="inlineStr">
        <is>
          <t>S00027</t>
        </is>
      </c>
      <c r="B373" s="17" t="inlineStr">
        <is>
          <t>P2609</t>
        </is>
      </c>
      <c r="C373" s="17" t="inlineStr">
        <is>
          <t>owensoscar</t>
        </is>
      </c>
      <c r="D373" s="17" t="inlineStr">
        <is>
          <t>Empire Wars</t>
        </is>
      </c>
      <c r="E373" s="17" t="inlineStr">
        <is>
          <t>Mobile</t>
        </is>
      </c>
      <c r="F373" s="17" t="inlineStr">
        <is>
          <t>North-East</t>
        </is>
      </c>
      <c r="G373" s="18" t="n">
        <v>45779</v>
      </c>
      <c r="H373" s="17" t="n">
        <v>173</v>
      </c>
      <c r="I373" s="17" t="n">
        <v>0</v>
      </c>
      <c r="J373" s="17" t="inlineStr">
        <is>
          <t>No Purchase</t>
        </is>
      </c>
      <c r="K373" s="17" t="inlineStr">
        <is>
          <t>Completed</t>
        </is>
      </c>
      <c r="L373" s="17" t="inlineStr">
        <is>
          <t>Free</t>
        </is>
      </c>
      <c r="M373" s="17" t="n">
        <v>8</v>
      </c>
      <c r="N373" s="17" t="inlineStr">
        <is>
          <t>Yes</t>
        </is>
      </c>
      <c r="O373" s="17">
        <f>TEXT(G373,"yyyy-mm")</f>
        <v/>
      </c>
      <c r="P373" s="17">
        <f>IF(H373&lt;20,"Low",IF(H373&lt;=60,"Medium","High"))</f>
        <v/>
      </c>
      <c r="Q373" s="17">
        <f>IF(I373&gt;0,"Yes","No")</f>
        <v/>
      </c>
      <c r="R373" s="17">
        <f>IF(N373="Yes",1,0)</f>
        <v/>
      </c>
      <c r="S373" s="17">
        <f>IF(N373=IF(OR(H373&gt;150,I373&gt;40),"Yes","No"),"Match","Mismatch")</f>
        <v/>
      </c>
    </row>
    <row r="374">
      <c r="A374" s="17" t="inlineStr">
        <is>
          <t>S00080</t>
        </is>
      </c>
      <c r="B374" s="17" t="inlineStr">
        <is>
          <t>P2463</t>
        </is>
      </c>
      <c r="C374" s="17" t="inlineStr">
        <is>
          <t>bentonashley</t>
        </is>
      </c>
      <c r="D374" s="17" t="inlineStr">
        <is>
          <t>SpeedX</t>
        </is>
      </c>
      <c r="E374" s="17" t="inlineStr">
        <is>
          <t>Mobile</t>
        </is>
      </c>
      <c r="F374" s="17" t="inlineStr">
        <is>
          <t>South</t>
        </is>
      </c>
      <c r="G374" s="18" t="n">
        <v>45779</v>
      </c>
      <c r="H374" s="17" t="n">
        <v>175</v>
      </c>
      <c r="I374" s="17" t="n">
        <v>27.19</v>
      </c>
      <c r="J374" s="17" t="inlineStr">
        <is>
          <t>Skins</t>
        </is>
      </c>
      <c r="K374" s="17" t="inlineStr">
        <is>
          <t>Completed</t>
        </is>
      </c>
      <c r="L374" s="17" t="inlineStr">
        <is>
          <t>Paid</t>
        </is>
      </c>
      <c r="M374" s="17" t="n">
        <v>1</v>
      </c>
      <c r="N374" s="17" t="inlineStr">
        <is>
          <t>Yes</t>
        </is>
      </c>
      <c r="O374" s="17">
        <f>TEXT(G374,"yyyy-mm")</f>
        <v/>
      </c>
      <c r="P374" s="17">
        <f>IF(H374&lt;20,"Low",IF(H374&lt;=60,"Medium","High"))</f>
        <v/>
      </c>
      <c r="Q374" s="17">
        <f>IF(I374&gt;0,"Yes","No")</f>
        <v/>
      </c>
      <c r="R374" s="17">
        <f>IF(N374="Yes",1,0)</f>
        <v/>
      </c>
      <c r="S374" s="17">
        <f>IF(N374=IF(OR(H374&gt;150,I374&gt;40),"Yes","No"),"Match","Mismatch")</f>
        <v/>
      </c>
    </row>
    <row r="375">
      <c r="A375" s="17" t="inlineStr">
        <is>
          <t>S00095</t>
        </is>
      </c>
      <c r="B375" s="17" t="inlineStr">
        <is>
          <t>P5248</t>
        </is>
      </c>
      <c r="C375" s="17" t="inlineStr">
        <is>
          <t>xreed</t>
        </is>
      </c>
      <c r="D375" s="17" t="inlineStr">
        <is>
          <t>Clash of Realms</t>
        </is>
      </c>
      <c r="E375" s="17" t="inlineStr">
        <is>
          <t>PC</t>
        </is>
      </c>
      <c r="F375" s="17" t="inlineStr">
        <is>
          <t>South</t>
        </is>
      </c>
      <c r="G375" s="18" t="n">
        <v>45779</v>
      </c>
      <c r="H375" s="17" t="n">
        <v>123</v>
      </c>
      <c r="I375" s="17" t="n">
        <v>26.85</v>
      </c>
      <c r="J375" s="17" t="inlineStr">
        <is>
          <t>Battle Pass</t>
        </is>
      </c>
      <c r="K375" s="17" t="inlineStr">
        <is>
          <t>Crashed</t>
        </is>
      </c>
      <c r="L375" s="17" t="inlineStr">
        <is>
          <t>Paid</t>
        </is>
      </c>
      <c r="M375" s="17" t="n">
        <v>32</v>
      </c>
      <c r="N375" s="17" t="inlineStr">
        <is>
          <t>No</t>
        </is>
      </c>
      <c r="O375" s="17">
        <f>TEXT(G375,"yyyy-mm")</f>
        <v/>
      </c>
      <c r="P375" s="17">
        <f>IF(H375&lt;20,"Low",IF(H375&lt;=60,"Medium","High"))</f>
        <v/>
      </c>
      <c r="Q375" s="17">
        <f>IF(I375&gt;0,"Yes","No")</f>
        <v/>
      </c>
      <c r="R375" s="17">
        <f>IF(N375="Yes",1,0)</f>
        <v/>
      </c>
      <c r="S375" s="17">
        <f>IF(N375=IF(OR(H375&gt;150,I375&gt;40),"Yes","No"),"Match","Mismatch")</f>
        <v/>
      </c>
    </row>
    <row r="376">
      <c r="A376" s="17" t="inlineStr">
        <is>
          <t>S00344</t>
        </is>
      </c>
      <c r="B376" s="17" t="inlineStr">
        <is>
          <t>P9975</t>
        </is>
      </c>
      <c r="C376" s="17" t="inlineStr">
        <is>
          <t>hollyjenkins</t>
        </is>
      </c>
      <c r="D376" s="17" t="inlineStr">
        <is>
          <t>Empire Wars</t>
        </is>
      </c>
      <c r="E376" s="17" t="inlineStr">
        <is>
          <t>PC</t>
        </is>
      </c>
      <c r="F376" s="17" t="inlineStr">
        <is>
          <t>South</t>
        </is>
      </c>
      <c r="G376" s="18" t="n">
        <v>45780</v>
      </c>
      <c r="H376" s="17" t="n">
        <v>39</v>
      </c>
      <c r="I376" s="17" t="n">
        <v>0</v>
      </c>
      <c r="J376" s="17" t="inlineStr">
        <is>
          <t>No Purchase</t>
        </is>
      </c>
      <c r="K376" s="17" t="inlineStr">
        <is>
          <t>Completed</t>
        </is>
      </c>
      <c r="L376" s="17" t="inlineStr">
        <is>
          <t>Free</t>
        </is>
      </c>
      <c r="M376" s="17" t="n">
        <v>49</v>
      </c>
      <c r="N376" s="17" t="inlineStr">
        <is>
          <t>No</t>
        </is>
      </c>
      <c r="O376" s="17">
        <f>TEXT(G376,"yyyy-mm")</f>
        <v/>
      </c>
      <c r="P376" s="17">
        <f>IF(H376&lt;20,"Low",IF(H376&lt;=60,"Medium","High"))</f>
        <v/>
      </c>
      <c r="Q376" s="17">
        <f>IF(I376&gt;0,"Yes","No")</f>
        <v/>
      </c>
      <c r="R376" s="17">
        <f>IF(N376="Yes",1,0)</f>
        <v/>
      </c>
      <c r="S376" s="17">
        <f>IF(N376=IF(OR(H376&gt;150,I376&gt;40),"Yes","No"),"Match","Mismatch")</f>
        <v/>
      </c>
    </row>
    <row r="377">
      <c r="A377" s="17" t="inlineStr">
        <is>
          <t>S00415</t>
        </is>
      </c>
      <c r="B377" s="17" t="inlineStr">
        <is>
          <t>P6369</t>
        </is>
      </c>
      <c r="C377" s="17" t="inlineStr">
        <is>
          <t>kingtroy</t>
        </is>
      </c>
      <c r="D377" s="17" t="inlineStr">
        <is>
          <t>Clash of Realms</t>
        </is>
      </c>
      <c r="E377" s="17" t="inlineStr">
        <is>
          <t>Console</t>
        </is>
      </c>
      <c r="F377" s="17" t="inlineStr">
        <is>
          <t>West</t>
        </is>
      </c>
      <c r="G377" s="18" t="n">
        <v>45780</v>
      </c>
      <c r="H377" s="17" t="n">
        <v>95</v>
      </c>
      <c r="I377" s="17" t="n">
        <v>35.92</v>
      </c>
      <c r="J377" s="17" t="inlineStr">
        <is>
          <t>Skins</t>
        </is>
      </c>
      <c r="K377" s="17" t="inlineStr">
        <is>
          <t>Exited Early</t>
        </is>
      </c>
      <c r="L377" s="17" t="inlineStr">
        <is>
          <t>Paid</t>
        </is>
      </c>
      <c r="M377" s="17" t="n">
        <v>6</v>
      </c>
      <c r="N377" s="17" t="inlineStr">
        <is>
          <t>No</t>
        </is>
      </c>
      <c r="O377" s="17">
        <f>TEXT(G377,"yyyy-mm")</f>
        <v/>
      </c>
      <c r="P377" s="17">
        <f>IF(H377&lt;20,"Low",IF(H377&lt;=60,"Medium","High"))</f>
        <v/>
      </c>
      <c r="Q377" s="17">
        <f>IF(I377&gt;0,"Yes","No")</f>
        <v/>
      </c>
      <c r="R377" s="17">
        <f>IF(N377="Yes",1,0)</f>
        <v/>
      </c>
      <c r="S377" s="17">
        <f>IF(N377=IF(OR(H377&gt;150,I377&gt;40),"Yes","No"),"Match","Mismatch")</f>
        <v/>
      </c>
    </row>
    <row r="378">
      <c r="A378" s="17" t="inlineStr">
        <is>
          <t>S00268</t>
        </is>
      </c>
      <c r="B378" s="17" t="inlineStr">
        <is>
          <t>P4625</t>
        </is>
      </c>
      <c r="C378" s="17" t="inlineStr">
        <is>
          <t>maryrodriguez</t>
        </is>
      </c>
      <c r="D378" s="17" t="inlineStr">
        <is>
          <t>Empire Wars</t>
        </is>
      </c>
      <c r="E378" s="17" t="inlineStr">
        <is>
          <t>PC</t>
        </is>
      </c>
      <c r="F378" s="17" t="inlineStr">
        <is>
          <t>North</t>
        </is>
      </c>
      <c r="G378" s="18" t="n">
        <v>45780</v>
      </c>
      <c r="H378" s="17" t="n">
        <v>39</v>
      </c>
      <c r="I378" s="17" t="n">
        <v>0</v>
      </c>
      <c r="J378" s="17" t="inlineStr">
        <is>
          <t>No Purchase</t>
        </is>
      </c>
      <c r="K378" s="17" t="inlineStr">
        <is>
          <t>Completed</t>
        </is>
      </c>
      <c r="L378" s="17" t="inlineStr">
        <is>
          <t>Free</t>
        </is>
      </c>
      <c r="M378" s="17" t="n">
        <v>18</v>
      </c>
      <c r="N378" s="17" t="inlineStr">
        <is>
          <t>No</t>
        </is>
      </c>
      <c r="O378" s="17">
        <f>TEXT(G378,"yyyy-mm")</f>
        <v/>
      </c>
      <c r="P378" s="17">
        <f>IF(H378&lt;20,"Low",IF(H378&lt;=60,"Medium","High"))</f>
        <v/>
      </c>
      <c r="Q378" s="17">
        <f>IF(I378&gt;0,"Yes","No")</f>
        <v/>
      </c>
      <c r="R378" s="17">
        <f>IF(N378="Yes",1,0)</f>
        <v/>
      </c>
      <c r="S378" s="17">
        <f>IF(N378=IF(OR(H378&gt;150,I378&gt;40),"Yes","No"),"Match","Mismatch")</f>
        <v/>
      </c>
    </row>
    <row r="379">
      <c r="A379" s="17" t="inlineStr">
        <is>
          <t>S00025</t>
        </is>
      </c>
      <c r="B379" s="17" t="inlineStr">
        <is>
          <t>P2146</t>
        </is>
      </c>
      <c r="C379" s="17" t="inlineStr">
        <is>
          <t>kvasquez</t>
        </is>
      </c>
      <c r="D379" s="17" t="inlineStr">
        <is>
          <t>Zombie Rush</t>
        </is>
      </c>
      <c r="E379" s="17" t="inlineStr">
        <is>
          <t>PC</t>
        </is>
      </c>
      <c r="F379" s="17" t="inlineStr">
        <is>
          <t>South</t>
        </is>
      </c>
      <c r="G379" s="18" t="n">
        <v>45781</v>
      </c>
      <c r="H379" s="17" t="n">
        <v>51</v>
      </c>
      <c r="I379" s="17" t="n">
        <v>0</v>
      </c>
      <c r="J379" s="17" t="inlineStr">
        <is>
          <t>No Purchase</t>
        </is>
      </c>
      <c r="K379" s="17" t="inlineStr">
        <is>
          <t>Crashed</t>
        </is>
      </c>
      <c r="L379" s="17" t="inlineStr">
        <is>
          <t>Free</t>
        </is>
      </c>
      <c r="M379" s="17" t="n">
        <v>41</v>
      </c>
      <c r="N379" s="17" t="inlineStr">
        <is>
          <t>No</t>
        </is>
      </c>
      <c r="O379" s="17">
        <f>TEXT(G379,"yyyy-mm")</f>
        <v/>
      </c>
      <c r="P379" s="17">
        <f>IF(H379&lt;20,"Low",IF(H379&lt;=60,"Medium","High"))</f>
        <v/>
      </c>
      <c r="Q379" s="17">
        <f>IF(I379&gt;0,"Yes","No")</f>
        <v/>
      </c>
      <c r="R379" s="17">
        <f>IF(N379="Yes",1,0)</f>
        <v/>
      </c>
      <c r="S379" s="17">
        <f>IF(N379=IF(OR(H379&gt;150,I379&gt;40),"Yes","No"),"Match","Mismatch")</f>
        <v/>
      </c>
    </row>
    <row r="380">
      <c r="A380" s="17" t="inlineStr">
        <is>
          <t>S00051</t>
        </is>
      </c>
      <c r="B380" s="17" t="inlineStr">
        <is>
          <t>P3174</t>
        </is>
      </c>
      <c r="C380" s="17" t="inlineStr">
        <is>
          <t>petersonlacey</t>
        </is>
      </c>
      <c r="D380" s="17" t="inlineStr">
        <is>
          <t>BattleZone</t>
        </is>
      </c>
      <c r="E380" s="17" t="inlineStr">
        <is>
          <t>Console</t>
        </is>
      </c>
      <c r="F380" s="17" t="inlineStr">
        <is>
          <t>South</t>
        </is>
      </c>
      <c r="G380" s="18" t="n">
        <v>45781</v>
      </c>
      <c r="H380" s="17" t="n">
        <v>42</v>
      </c>
      <c r="I380" s="17" t="n">
        <v>0</v>
      </c>
      <c r="J380" s="17" t="inlineStr">
        <is>
          <t>No Purchase</t>
        </is>
      </c>
      <c r="K380" s="17" t="inlineStr">
        <is>
          <t>Completed</t>
        </is>
      </c>
      <c r="L380" s="17" t="inlineStr">
        <is>
          <t>Free</t>
        </is>
      </c>
      <c r="M380" s="17" t="n">
        <v>18</v>
      </c>
      <c r="N380" s="17" t="inlineStr">
        <is>
          <t>No</t>
        </is>
      </c>
      <c r="O380" s="17">
        <f>TEXT(G380,"yyyy-mm")</f>
        <v/>
      </c>
      <c r="P380" s="17">
        <f>IF(H380&lt;20,"Low",IF(H380&lt;=60,"Medium","High"))</f>
        <v/>
      </c>
      <c r="Q380" s="17">
        <f>IF(I380&gt;0,"Yes","No")</f>
        <v/>
      </c>
      <c r="R380" s="17">
        <f>IF(N380="Yes",1,0)</f>
        <v/>
      </c>
      <c r="S380" s="17">
        <f>IF(N380=IF(OR(H380&gt;150,I380&gt;40),"Yes","No"),"Match","Mismatch")</f>
        <v/>
      </c>
    </row>
    <row r="381">
      <c r="A381" s="17" t="inlineStr">
        <is>
          <t>S00119</t>
        </is>
      </c>
      <c r="B381" s="17" t="inlineStr">
        <is>
          <t>P4118</t>
        </is>
      </c>
      <c r="C381" s="17" t="inlineStr">
        <is>
          <t>dorseyemily</t>
        </is>
      </c>
      <c r="D381" s="17" t="inlineStr">
        <is>
          <t>BattleZone</t>
        </is>
      </c>
      <c r="E381" s="17" t="inlineStr">
        <is>
          <t>Console</t>
        </is>
      </c>
      <c r="F381" s="17" t="inlineStr">
        <is>
          <t>North</t>
        </is>
      </c>
      <c r="G381" s="18" t="n">
        <v>45781</v>
      </c>
      <c r="H381" s="17" t="n">
        <v>63</v>
      </c>
      <c r="I381" s="17" t="n">
        <v>0</v>
      </c>
      <c r="J381" s="17" t="inlineStr">
        <is>
          <t>No Purchase</t>
        </is>
      </c>
      <c r="K381" s="17" t="inlineStr">
        <is>
          <t>Completed</t>
        </is>
      </c>
      <c r="L381" s="17" t="inlineStr">
        <is>
          <t>Free</t>
        </is>
      </c>
      <c r="M381" s="17" t="n">
        <v>13</v>
      </c>
      <c r="N381" s="17" t="inlineStr">
        <is>
          <t>No</t>
        </is>
      </c>
      <c r="O381" s="17">
        <f>TEXT(G381,"yyyy-mm")</f>
        <v/>
      </c>
      <c r="P381" s="17">
        <f>IF(H381&lt;20,"Low",IF(H381&lt;=60,"Medium","High"))</f>
        <v/>
      </c>
      <c r="Q381" s="17">
        <f>IF(I381&gt;0,"Yes","No")</f>
        <v/>
      </c>
      <c r="R381" s="17">
        <f>IF(N381="Yes",1,0)</f>
        <v/>
      </c>
      <c r="S381" s="17">
        <f>IF(N381=IF(OR(H381&gt;150,I381&gt;40),"Yes","No"),"Match","Mismatch")</f>
        <v/>
      </c>
    </row>
    <row r="382">
      <c r="A382" s="17" t="inlineStr">
        <is>
          <t>S00057</t>
        </is>
      </c>
      <c r="B382" s="17" t="inlineStr">
        <is>
          <t>P7588</t>
        </is>
      </c>
      <c r="C382" s="17" t="inlineStr">
        <is>
          <t>usnyder</t>
        </is>
      </c>
      <c r="D382" s="17" t="inlineStr">
        <is>
          <t>BattleZone</t>
        </is>
      </c>
      <c r="E382" s="17" t="inlineStr">
        <is>
          <t>PC</t>
        </is>
      </c>
      <c r="F382" s="17" t="inlineStr">
        <is>
          <t>North</t>
        </is>
      </c>
      <c r="G382" s="18" t="n">
        <v>45781</v>
      </c>
      <c r="H382" s="17" t="n">
        <v>139</v>
      </c>
      <c r="I382" s="17" t="n">
        <v>0</v>
      </c>
      <c r="J382" s="17" t="inlineStr">
        <is>
          <t>No Purchase</t>
        </is>
      </c>
      <c r="K382" s="17" t="inlineStr">
        <is>
          <t>Completed</t>
        </is>
      </c>
      <c r="L382" s="17" t="inlineStr">
        <is>
          <t>Free</t>
        </is>
      </c>
      <c r="M382" s="17" t="n">
        <v>41</v>
      </c>
      <c r="N382" s="17" t="inlineStr">
        <is>
          <t>No</t>
        </is>
      </c>
      <c r="O382" s="17">
        <f>TEXT(G382,"yyyy-mm")</f>
        <v/>
      </c>
      <c r="P382" s="17">
        <f>IF(H382&lt;20,"Low",IF(H382&lt;=60,"Medium","High"))</f>
        <v/>
      </c>
      <c r="Q382" s="17">
        <f>IF(I382&gt;0,"Yes","No")</f>
        <v/>
      </c>
      <c r="R382" s="17">
        <f>IF(N382="Yes",1,0)</f>
        <v/>
      </c>
      <c r="S382" s="17">
        <f>IF(N382=IF(OR(H382&gt;150,I382&gt;40),"Yes","No"),"Match","Mismatch")</f>
        <v/>
      </c>
    </row>
    <row r="383">
      <c r="A383" s="17" t="inlineStr">
        <is>
          <t>S00346</t>
        </is>
      </c>
      <c r="B383" s="17" t="inlineStr">
        <is>
          <t>P4525</t>
        </is>
      </c>
      <c r="C383" s="17" t="inlineStr">
        <is>
          <t>kellergregory</t>
        </is>
      </c>
      <c r="D383" s="17" t="inlineStr">
        <is>
          <t>Zombie Rush</t>
        </is>
      </c>
      <c r="E383" s="17" t="inlineStr">
        <is>
          <t>Mobile</t>
        </is>
      </c>
      <c r="F383" s="17" t="inlineStr">
        <is>
          <t>Central</t>
        </is>
      </c>
      <c r="G383" s="18" t="n">
        <v>45782</v>
      </c>
      <c r="H383" s="17" t="n">
        <v>30</v>
      </c>
      <c r="I383" s="17" t="n">
        <v>0</v>
      </c>
      <c r="J383" s="17" t="inlineStr">
        <is>
          <t>No Purchase</t>
        </is>
      </c>
      <c r="K383" s="17" t="inlineStr">
        <is>
          <t>Incomplete</t>
        </is>
      </c>
      <c r="L383" s="17" t="inlineStr">
        <is>
          <t>Free</t>
        </is>
      </c>
      <c r="M383" s="17" t="n">
        <v>42</v>
      </c>
      <c r="N383" s="17" t="inlineStr">
        <is>
          <t>No</t>
        </is>
      </c>
      <c r="O383" s="17">
        <f>TEXT(G383,"yyyy-mm")</f>
        <v/>
      </c>
      <c r="P383" s="17">
        <f>IF(H383&lt;20,"Low",IF(H383&lt;=60,"Medium","High"))</f>
        <v/>
      </c>
      <c r="Q383" s="17">
        <f>IF(I383&gt;0,"Yes","No")</f>
        <v/>
      </c>
      <c r="R383" s="17">
        <f>IF(N383="Yes",1,0)</f>
        <v/>
      </c>
      <c r="S383" s="17">
        <f>IF(N383=IF(OR(H383&gt;150,I383&gt;40),"Yes","No"),"Match","Mismatch")</f>
        <v/>
      </c>
    </row>
    <row r="384">
      <c r="A384" s="17" t="inlineStr">
        <is>
          <t>S00204</t>
        </is>
      </c>
      <c r="B384" s="17" t="inlineStr">
        <is>
          <t>P7851</t>
        </is>
      </c>
      <c r="C384" s="17" t="inlineStr">
        <is>
          <t>hernandezmichael</t>
        </is>
      </c>
      <c r="D384" s="17" t="inlineStr">
        <is>
          <t>Zombie Rush</t>
        </is>
      </c>
      <c r="E384" s="17" t="inlineStr">
        <is>
          <t>PC</t>
        </is>
      </c>
      <c r="F384" s="17" t="inlineStr">
        <is>
          <t>East</t>
        </is>
      </c>
      <c r="G384" s="18" t="n">
        <v>45782</v>
      </c>
      <c r="H384" s="17" t="n">
        <v>32</v>
      </c>
      <c r="I384" s="17" t="n">
        <v>0</v>
      </c>
      <c r="J384" s="17" t="inlineStr">
        <is>
          <t>No Purchase</t>
        </is>
      </c>
      <c r="K384" s="17" t="inlineStr">
        <is>
          <t>Incomplete</t>
        </is>
      </c>
      <c r="L384" s="17" t="inlineStr">
        <is>
          <t>Free</t>
        </is>
      </c>
      <c r="M384" s="17" t="n">
        <v>22</v>
      </c>
      <c r="N384" s="17" t="inlineStr">
        <is>
          <t>No</t>
        </is>
      </c>
      <c r="O384" s="17">
        <f>TEXT(G384,"yyyy-mm")</f>
        <v/>
      </c>
      <c r="P384" s="17">
        <f>IF(H384&lt;20,"Low",IF(H384&lt;=60,"Medium","High"))</f>
        <v/>
      </c>
      <c r="Q384" s="17">
        <f>IF(I384&gt;0,"Yes","No")</f>
        <v/>
      </c>
      <c r="R384" s="17">
        <f>IF(N384="Yes",1,0)</f>
        <v/>
      </c>
      <c r="S384" s="17">
        <f>IF(N384=IF(OR(H384&gt;150,I384&gt;40),"Yes","No"),"Match","Mismatch")</f>
        <v/>
      </c>
    </row>
    <row r="385">
      <c r="A385" s="17" t="inlineStr">
        <is>
          <t>S00464</t>
        </is>
      </c>
      <c r="B385" s="17" t="inlineStr">
        <is>
          <t>P2743</t>
        </is>
      </c>
      <c r="C385" s="17" t="inlineStr">
        <is>
          <t>jennifersmith</t>
        </is>
      </c>
      <c r="D385" s="17" t="inlineStr">
        <is>
          <t>Empire Wars</t>
        </is>
      </c>
      <c r="E385" s="17" t="inlineStr">
        <is>
          <t>Mobile</t>
        </is>
      </c>
      <c r="F385" s="17" t="inlineStr">
        <is>
          <t>West</t>
        </is>
      </c>
      <c r="G385" s="18" t="n">
        <v>45782</v>
      </c>
      <c r="H385" s="17" t="n">
        <v>63</v>
      </c>
      <c r="I385" s="17" t="n">
        <v>0</v>
      </c>
      <c r="J385" s="17" t="inlineStr">
        <is>
          <t>No Purchase</t>
        </is>
      </c>
      <c r="K385" s="17" t="inlineStr">
        <is>
          <t>Completed</t>
        </is>
      </c>
      <c r="L385" s="17" t="inlineStr">
        <is>
          <t>Paid</t>
        </is>
      </c>
      <c r="M385" s="17" t="n">
        <v>43</v>
      </c>
      <c r="N385" s="17" t="inlineStr">
        <is>
          <t>No</t>
        </is>
      </c>
      <c r="O385" s="17">
        <f>TEXT(G385,"yyyy-mm")</f>
        <v/>
      </c>
      <c r="P385" s="17">
        <f>IF(H385&lt;20,"Low",IF(H385&lt;=60,"Medium","High"))</f>
        <v/>
      </c>
      <c r="Q385" s="17">
        <f>IF(I385&gt;0,"Yes","No")</f>
        <v/>
      </c>
      <c r="R385" s="17">
        <f>IF(N385="Yes",1,0)</f>
        <v/>
      </c>
      <c r="S385" s="17">
        <f>IF(N385=IF(OR(H385&gt;150,I385&gt;40),"Yes","No"),"Match","Mismatch")</f>
        <v/>
      </c>
    </row>
    <row r="386">
      <c r="A386" s="17" t="inlineStr">
        <is>
          <t>S00164</t>
        </is>
      </c>
      <c r="B386" s="17" t="inlineStr">
        <is>
          <t>P4355</t>
        </is>
      </c>
      <c r="C386" s="17" t="inlineStr">
        <is>
          <t>victoriastone</t>
        </is>
      </c>
      <c r="D386" s="17" t="inlineStr">
        <is>
          <t>BattleZone</t>
        </is>
      </c>
      <c r="E386" s="17" t="inlineStr">
        <is>
          <t>PC</t>
        </is>
      </c>
      <c r="F386" s="17" t="inlineStr">
        <is>
          <t>North-East</t>
        </is>
      </c>
      <c r="G386" s="18" t="n">
        <v>45782</v>
      </c>
      <c r="H386" s="17" t="n">
        <v>94</v>
      </c>
      <c r="I386" s="17" t="n">
        <v>0</v>
      </c>
      <c r="J386" s="17" t="inlineStr">
        <is>
          <t>No Purchase</t>
        </is>
      </c>
      <c r="K386" s="17" t="inlineStr">
        <is>
          <t>Exited Early</t>
        </is>
      </c>
      <c r="L386" s="17" t="inlineStr">
        <is>
          <t>Free</t>
        </is>
      </c>
      <c r="M386" s="17" t="n">
        <v>23</v>
      </c>
      <c r="N386" s="17" t="inlineStr">
        <is>
          <t>No</t>
        </is>
      </c>
      <c r="O386" s="17">
        <f>TEXT(G386,"yyyy-mm")</f>
        <v/>
      </c>
      <c r="P386" s="17">
        <f>IF(H386&lt;20,"Low",IF(H386&lt;=60,"Medium","High"))</f>
        <v/>
      </c>
      <c r="Q386" s="17">
        <f>IF(I386&gt;0,"Yes","No")</f>
        <v/>
      </c>
      <c r="R386" s="17">
        <f>IF(N386="Yes",1,0)</f>
        <v/>
      </c>
      <c r="S386" s="17">
        <f>IF(N386=IF(OR(H386&gt;150,I386&gt;40),"Yes","No"),"Match","Mismatch")</f>
        <v/>
      </c>
    </row>
    <row r="387">
      <c r="A387" s="17" t="inlineStr">
        <is>
          <t>S00297</t>
        </is>
      </c>
      <c r="B387" s="17" t="inlineStr">
        <is>
          <t>P2001</t>
        </is>
      </c>
      <c r="C387" s="17" t="inlineStr">
        <is>
          <t>yrichardson</t>
        </is>
      </c>
      <c r="D387" s="17" t="inlineStr">
        <is>
          <t>BattleZone</t>
        </is>
      </c>
      <c r="E387" s="17" t="inlineStr">
        <is>
          <t>PC</t>
        </is>
      </c>
      <c r="F387" s="17" t="inlineStr">
        <is>
          <t>East</t>
        </is>
      </c>
      <c r="G387" s="18" t="n">
        <v>45782</v>
      </c>
      <c r="H387" s="17" t="n">
        <v>68</v>
      </c>
      <c r="I387" s="17" t="n">
        <v>0</v>
      </c>
      <c r="J387" s="17" t="inlineStr">
        <is>
          <t>No Purchase</t>
        </is>
      </c>
      <c r="K387" s="17" t="inlineStr">
        <is>
          <t>Completed</t>
        </is>
      </c>
      <c r="L387" s="17" t="inlineStr">
        <is>
          <t>Free</t>
        </is>
      </c>
      <c r="M387" s="17" t="n">
        <v>21</v>
      </c>
      <c r="N387" s="17" t="inlineStr">
        <is>
          <t>No</t>
        </is>
      </c>
      <c r="O387" s="17">
        <f>TEXT(G387,"yyyy-mm")</f>
        <v/>
      </c>
      <c r="P387" s="17">
        <f>IF(H387&lt;20,"Low",IF(H387&lt;=60,"Medium","High"))</f>
        <v/>
      </c>
      <c r="Q387" s="17">
        <f>IF(I387&gt;0,"Yes","No")</f>
        <v/>
      </c>
      <c r="R387" s="17">
        <f>IF(N387="Yes",1,0)</f>
        <v/>
      </c>
      <c r="S387" s="17">
        <f>IF(N387=IF(OR(H387&gt;150,I387&gt;40),"Yes","No"),"Match","Mismatch")</f>
        <v/>
      </c>
    </row>
    <row r="388">
      <c r="A388" s="17" t="inlineStr">
        <is>
          <t>S00073</t>
        </is>
      </c>
      <c r="B388" s="17" t="inlineStr">
        <is>
          <t>P8666</t>
        </is>
      </c>
      <c r="C388" s="17" t="inlineStr">
        <is>
          <t>craiggail</t>
        </is>
      </c>
      <c r="D388" s="17" t="inlineStr">
        <is>
          <t>SpeedX</t>
        </is>
      </c>
      <c r="E388" s="17" t="inlineStr">
        <is>
          <t>Mobile</t>
        </is>
      </c>
      <c r="F388" s="17" t="inlineStr">
        <is>
          <t>North</t>
        </is>
      </c>
      <c r="G388" s="18" t="n">
        <v>45782</v>
      </c>
      <c r="H388" s="17" t="n">
        <v>79</v>
      </c>
      <c r="I388" s="17" t="n">
        <v>0</v>
      </c>
      <c r="J388" s="17" t="inlineStr">
        <is>
          <t>No Purchase</t>
        </is>
      </c>
      <c r="K388" s="17" t="inlineStr">
        <is>
          <t>Completed</t>
        </is>
      </c>
      <c r="L388" s="17" t="inlineStr">
        <is>
          <t>Free</t>
        </is>
      </c>
      <c r="M388" s="17" t="n">
        <v>49</v>
      </c>
      <c r="N388" s="17" t="inlineStr">
        <is>
          <t>No</t>
        </is>
      </c>
      <c r="O388" s="17">
        <f>TEXT(G388,"yyyy-mm")</f>
        <v/>
      </c>
      <c r="P388" s="17">
        <f>IF(H388&lt;20,"Low",IF(H388&lt;=60,"Medium","High"))</f>
        <v/>
      </c>
      <c r="Q388" s="17">
        <f>IF(I388&gt;0,"Yes","No")</f>
        <v/>
      </c>
      <c r="R388" s="17">
        <f>IF(N388="Yes",1,0)</f>
        <v/>
      </c>
      <c r="S388" s="17">
        <f>IF(N388=IF(OR(H388&gt;150,I388&gt;40),"Yes","No"),"Match","Mismatch")</f>
        <v/>
      </c>
    </row>
    <row r="389">
      <c r="A389" s="17" t="inlineStr">
        <is>
          <t>S00042</t>
        </is>
      </c>
      <c r="B389" s="17" t="inlineStr">
        <is>
          <t>P2683</t>
        </is>
      </c>
      <c r="C389" s="17" t="inlineStr">
        <is>
          <t>csanchez</t>
        </is>
      </c>
      <c r="D389" s="17" t="inlineStr">
        <is>
          <t>Clash of Realms</t>
        </is>
      </c>
      <c r="E389" s="17" t="inlineStr">
        <is>
          <t>Console</t>
        </is>
      </c>
      <c r="F389" s="17" t="inlineStr">
        <is>
          <t>South</t>
        </is>
      </c>
      <c r="G389" s="18" t="n">
        <v>45783</v>
      </c>
      <c r="H389" s="17" t="n">
        <v>35</v>
      </c>
      <c r="I389" s="17" t="n">
        <v>0</v>
      </c>
      <c r="J389" s="17" t="inlineStr">
        <is>
          <t>No Purchase</t>
        </is>
      </c>
      <c r="K389" s="17" t="inlineStr">
        <is>
          <t>Completed</t>
        </is>
      </c>
      <c r="L389" s="17" t="inlineStr">
        <is>
          <t>Paid</t>
        </is>
      </c>
      <c r="M389" s="17" t="n">
        <v>33</v>
      </c>
      <c r="N389" s="17" t="inlineStr">
        <is>
          <t>No</t>
        </is>
      </c>
      <c r="O389" s="17">
        <f>TEXT(G389,"yyyy-mm")</f>
        <v/>
      </c>
      <c r="P389" s="17">
        <f>IF(H389&lt;20,"Low",IF(H389&lt;=60,"Medium","High"))</f>
        <v/>
      </c>
      <c r="Q389" s="17">
        <f>IF(I389&gt;0,"Yes","No")</f>
        <v/>
      </c>
      <c r="R389" s="17">
        <f>IF(N389="Yes",1,0)</f>
        <v/>
      </c>
      <c r="S389" s="17">
        <f>IF(N389=IF(OR(H389&gt;150,I389&gt;40),"Yes","No"),"Match","Mismatch")</f>
        <v/>
      </c>
    </row>
    <row r="390">
      <c r="A390" s="17" t="inlineStr">
        <is>
          <t>S00360</t>
        </is>
      </c>
      <c r="B390" s="17" t="inlineStr">
        <is>
          <t>P9731</t>
        </is>
      </c>
      <c r="C390" s="17" t="inlineStr">
        <is>
          <t>popelance</t>
        </is>
      </c>
      <c r="D390" s="17" t="inlineStr">
        <is>
          <t>SpeedX</t>
        </is>
      </c>
      <c r="E390" s="17" t="inlineStr">
        <is>
          <t>Console</t>
        </is>
      </c>
      <c r="F390" s="17" t="inlineStr">
        <is>
          <t>South</t>
        </is>
      </c>
      <c r="G390" s="18" t="n">
        <v>45783</v>
      </c>
      <c r="H390" s="17" t="n">
        <v>63</v>
      </c>
      <c r="I390" s="17" t="n">
        <v>0</v>
      </c>
      <c r="J390" s="17" t="inlineStr">
        <is>
          <t>No Purchase</t>
        </is>
      </c>
      <c r="K390" s="17" t="inlineStr">
        <is>
          <t>Completed</t>
        </is>
      </c>
      <c r="L390" s="17" t="inlineStr">
        <is>
          <t>Free</t>
        </is>
      </c>
      <c r="M390" s="17" t="n">
        <v>15</v>
      </c>
      <c r="N390" s="17" t="inlineStr">
        <is>
          <t>No</t>
        </is>
      </c>
      <c r="O390" s="17">
        <f>TEXT(G390,"yyyy-mm")</f>
        <v/>
      </c>
      <c r="P390" s="17">
        <f>IF(H390&lt;20,"Low",IF(H390&lt;=60,"Medium","High"))</f>
        <v/>
      </c>
      <c r="Q390" s="17">
        <f>IF(I390&gt;0,"Yes","No")</f>
        <v/>
      </c>
      <c r="R390" s="17">
        <f>IF(N390="Yes",1,0)</f>
        <v/>
      </c>
      <c r="S390" s="17">
        <f>IF(N390=IF(OR(H390&gt;150,I390&gt;40),"Yes","No"),"Match","Mismatch")</f>
        <v/>
      </c>
    </row>
    <row r="391">
      <c r="A391" s="17" t="inlineStr">
        <is>
          <t>S00390</t>
        </is>
      </c>
      <c r="B391" s="17" t="inlineStr">
        <is>
          <t>P9103</t>
        </is>
      </c>
      <c r="C391" s="17" t="inlineStr">
        <is>
          <t>lance41</t>
        </is>
      </c>
      <c r="D391" s="17" t="inlineStr">
        <is>
          <t>Zombie Rush</t>
        </is>
      </c>
      <c r="E391" s="17" t="inlineStr">
        <is>
          <t>Console</t>
        </is>
      </c>
      <c r="F391" s="17" t="inlineStr">
        <is>
          <t>West</t>
        </is>
      </c>
      <c r="G391" s="18" t="n">
        <v>45783</v>
      </c>
      <c r="H391" s="17" t="n">
        <v>71</v>
      </c>
      <c r="I391" s="17" t="n">
        <v>0</v>
      </c>
      <c r="J391" s="17" t="inlineStr">
        <is>
          <t>No Purchase</t>
        </is>
      </c>
      <c r="K391" s="17" t="inlineStr">
        <is>
          <t>Completed</t>
        </is>
      </c>
      <c r="L391" s="17" t="inlineStr">
        <is>
          <t>Free</t>
        </is>
      </c>
      <c r="M391" s="17" t="n">
        <v>46</v>
      </c>
      <c r="N391" s="17" t="inlineStr">
        <is>
          <t>No</t>
        </is>
      </c>
      <c r="O391" s="17">
        <f>TEXT(G391,"yyyy-mm")</f>
        <v/>
      </c>
      <c r="P391" s="17">
        <f>IF(H391&lt;20,"Low",IF(H391&lt;=60,"Medium","High"))</f>
        <v/>
      </c>
      <c r="Q391" s="17">
        <f>IF(I391&gt;0,"Yes","No")</f>
        <v/>
      </c>
      <c r="R391" s="17">
        <f>IF(N391="Yes",1,0)</f>
        <v/>
      </c>
      <c r="S391" s="17">
        <f>IF(N391=IF(OR(H391&gt;150,I391&gt;40),"Yes","No"),"Match","Mismatch")</f>
        <v/>
      </c>
    </row>
    <row r="392">
      <c r="A392" s="17" t="inlineStr">
        <is>
          <t>S00397</t>
        </is>
      </c>
      <c r="B392" s="17" t="inlineStr">
        <is>
          <t>P9321</t>
        </is>
      </c>
      <c r="C392" s="17" t="inlineStr">
        <is>
          <t>angelicawillis</t>
        </is>
      </c>
      <c r="D392" s="17" t="inlineStr">
        <is>
          <t>BattleZone</t>
        </is>
      </c>
      <c r="E392" s="17" t="inlineStr">
        <is>
          <t>Mobile</t>
        </is>
      </c>
      <c r="F392" s="17" t="inlineStr">
        <is>
          <t>North</t>
        </is>
      </c>
      <c r="G392" s="18" t="n">
        <v>45784</v>
      </c>
      <c r="H392" s="17" t="n">
        <v>75</v>
      </c>
      <c r="I392" s="17" t="n">
        <v>0</v>
      </c>
      <c r="J392" s="17" t="inlineStr">
        <is>
          <t>No Purchase</t>
        </is>
      </c>
      <c r="K392" s="17" t="inlineStr">
        <is>
          <t>Completed</t>
        </is>
      </c>
      <c r="L392" s="17" t="inlineStr">
        <is>
          <t>Free</t>
        </is>
      </c>
      <c r="M392" s="17" t="n">
        <v>13</v>
      </c>
      <c r="N392" s="17" t="inlineStr">
        <is>
          <t>No</t>
        </is>
      </c>
      <c r="O392" s="17">
        <f>TEXT(G392,"yyyy-mm")</f>
        <v/>
      </c>
      <c r="P392" s="17">
        <f>IF(H392&lt;20,"Low",IF(H392&lt;=60,"Medium","High"))</f>
        <v/>
      </c>
      <c r="Q392" s="17">
        <f>IF(I392&gt;0,"Yes","No")</f>
        <v/>
      </c>
      <c r="R392" s="17">
        <f>IF(N392="Yes",1,0)</f>
        <v/>
      </c>
      <c r="S392" s="17">
        <f>IF(N392=IF(OR(H392&gt;150,I392&gt;40),"Yes","No"),"Match","Mismatch")</f>
        <v/>
      </c>
    </row>
    <row r="393">
      <c r="A393" s="17" t="inlineStr">
        <is>
          <t>S00304</t>
        </is>
      </c>
      <c r="B393" s="17" t="inlineStr">
        <is>
          <t>P1757</t>
        </is>
      </c>
      <c r="C393" s="17" t="inlineStr">
        <is>
          <t>thomas29</t>
        </is>
      </c>
      <c r="D393" s="17" t="inlineStr">
        <is>
          <t>Clash of Realms</t>
        </is>
      </c>
      <c r="E393" s="17" t="inlineStr">
        <is>
          <t>Mobile</t>
        </is>
      </c>
      <c r="F393" s="17" t="inlineStr">
        <is>
          <t>North</t>
        </is>
      </c>
      <c r="G393" s="18" t="n">
        <v>45785</v>
      </c>
      <c r="H393" s="17" t="n">
        <v>122</v>
      </c>
      <c r="I393" s="17" t="n">
        <v>40.31</v>
      </c>
      <c r="J393" s="17" t="inlineStr">
        <is>
          <t>Battle Pass</t>
        </is>
      </c>
      <c r="K393" s="17" t="inlineStr">
        <is>
          <t>Completed</t>
        </is>
      </c>
      <c r="L393" s="17" t="inlineStr">
        <is>
          <t>Paid</t>
        </is>
      </c>
      <c r="M393" s="17" t="n">
        <v>33</v>
      </c>
      <c r="N393" s="17" t="inlineStr">
        <is>
          <t>Yes</t>
        </is>
      </c>
      <c r="O393" s="17">
        <f>TEXT(G393,"yyyy-mm")</f>
        <v/>
      </c>
      <c r="P393" s="17">
        <f>IF(H393&lt;20,"Low",IF(H393&lt;=60,"Medium","High"))</f>
        <v/>
      </c>
      <c r="Q393" s="17">
        <f>IF(I393&gt;0,"Yes","No")</f>
        <v/>
      </c>
      <c r="R393" s="17">
        <f>IF(N393="Yes",1,0)</f>
        <v/>
      </c>
      <c r="S393" s="17">
        <f>IF(N393=IF(OR(H393&gt;150,I393&gt;40),"Yes","No"),"Match","Mismatch")</f>
        <v/>
      </c>
    </row>
    <row r="394">
      <c r="A394" s="17" t="inlineStr">
        <is>
          <t>S00375</t>
        </is>
      </c>
      <c r="B394" s="17" t="inlineStr">
        <is>
          <t>P5838</t>
        </is>
      </c>
      <c r="C394" s="17" t="inlineStr">
        <is>
          <t>christopher10</t>
        </is>
      </c>
      <c r="D394" s="17" t="inlineStr">
        <is>
          <t>Zombie Rush</t>
        </is>
      </c>
      <c r="E394" s="17" t="inlineStr">
        <is>
          <t>Console</t>
        </is>
      </c>
      <c r="F394" s="17" t="inlineStr">
        <is>
          <t>East</t>
        </is>
      </c>
      <c r="G394" s="18" t="n">
        <v>45786</v>
      </c>
      <c r="H394" s="17" t="n">
        <v>79</v>
      </c>
      <c r="I394" s="17" t="n">
        <v>20.5</v>
      </c>
      <c r="J394" s="17" t="inlineStr">
        <is>
          <t>Boosters</t>
        </is>
      </c>
      <c r="K394" s="17" t="inlineStr">
        <is>
          <t>Completed</t>
        </is>
      </c>
      <c r="L394" s="17" t="inlineStr">
        <is>
          <t>Paid</t>
        </is>
      </c>
      <c r="M394" s="17" t="n">
        <v>5</v>
      </c>
      <c r="N394" s="17" t="inlineStr">
        <is>
          <t>No</t>
        </is>
      </c>
      <c r="O394" s="17">
        <f>TEXT(G394,"yyyy-mm")</f>
        <v/>
      </c>
      <c r="P394" s="17">
        <f>IF(H394&lt;20,"Low",IF(H394&lt;=60,"Medium","High"))</f>
        <v/>
      </c>
      <c r="Q394" s="17">
        <f>IF(I394&gt;0,"Yes","No")</f>
        <v/>
      </c>
      <c r="R394" s="17">
        <f>IF(N394="Yes",1,0)</f>
        <v/>
      </c>
      <c r="S394" s="17">
        <f>IF(N394=IF(OR(H394&gt;150,I394&gt;40),"Yes","No"),"Match","Mismatch")</f>
        <v/>
      </c>
    </row>
    <row r="395">
      <c r="A395" s="17" t="inlineStr">
        <is>
          <t>S00232</t>
        </is>
      </c>
      <c r="B395" s="17" t="inlineStr">
        <is>
          <t>P8348</t>
        </is>
      </c>
      <c r="C395" s="17" t="inlineStr">
        <is>
          <t>pottsdavid</t>
        </is>
      </c>
      <c r="D395" s="17" t="inlineStr">
        <is>
          <t>Zombie Rush</t>
        </is>
      </c>
      <c r="E395" s="17" t="inlineStr">
        <is>
          <t>Console</t>
        </is>
      </c>
      <c r="F395" s="17" t="inlineStr">
        <is>
          <t>West</t>
        </is>
      </c>
      <c r="G395" s="18" t="n">
        <v>45786</v>
      </c>
      <c r="H395" s="17" t="n">
        <v>146</v>
      </c>
      <c r="I395" s="17" t="n">
        <v>43.02</v>
      </c>
      <c r="J395" s="17" t="inlineStr">
        <is>
          <t>Skins</t>
        </is>
      </c>
      <c r="K395" s="17" t="inlineStr">
        <is>
          <t>Completed</t>
        </is>
      </c>
      <c r="L395" s="17" t="inlineStr">
        <is>
          <t>Paid</t>
        </is>
      </c>
      <c r="M395" s="17" t="n">
        <v>24</v>
      </c>
      <c r="N395" s="17" t="inlineStr">
        <is>
          <t>Yes</t>
        </is>
      </c>
      <c r="O395" s="17">
        <f>TEXT(G395,"yyyy-mm")</f>
        <v/>
      </c>
      <c r="P395" s="17">
        <f>IF(H395&lt;20,"Low",IF(H395&lt;=60,"Medium","High"))</f>
        <v/>
      </c>
      <c r="Q395" s="17">
        <f>IF(I395&gt;0,"Yes","No")</f>
        <v/>
      </c>
      <c r="R395" s="17">
        <f>IF(N395="Yes",1,0)</f>
        <v/>
      </c>
      <c r="S395" s="17">
        <f>IF(N395=IF(OR(H395&gt;150,I395&gt;40),"Yes","No"),"Match","Mismatch")</f>
        <v/>
      </c>
    </row>
    <row r="396">
      <c r="A396" s="17" t="inlineStr">
        <is>
          <t>S00446</t>
        </is>
      </c>
      <c r="B396" s="17" t="inlineStr">
        <is>
          <t>P7453</t>
        </is>
      </c>
      <c r="C396" s="17" t="inlineStr">
        <is>
          <t>davidhunt</t>
        </is>
      </c>
      <c r="D396" s="17" t="inlineStr">
        <is>
          <t>BattleZone</t>
        </is>
      </c>
      <c r="E396" s="17" t="inlineStr">
        <is>
          <t>Console</t>
        </is>
      </c>
      <c r="F396" s="17" t="inlineStr">
        <is>
          <t>West</t>
        </is>
      </c>
      <c r="G396" s="18" t="n">
        <v>45787</v>
      </c>
      <c r="H396" s="17" t="n">
        <v>114</v>
      </c>
      <c r="I396" s="17" t="n">
        <v>0</v>
      </c>
      <c r="J396" s="17" t="inlineStr">
        <is>
          <t>No Purchase</t>
        </is>
      </c>
      <c r="K396" s="17" t="inlineStr">
        <is>
          <t>Incomplete</t>
        </is>
      </c>
      <c r="L396" s="17" t="inlineStr">
        <is>
          <t>Free</t>
        </is>
      </c>
      <c r="M396" s="17" t="n">
        <v>22</v>
      </c>
      <c r="N396" s="17" t="inlineStr">
        <is>
          <t>No</t>
        </is>
      </c>
      <c r="O396" s="17">
        <f>TEXT(G396,"yyyy-mm")</f>
        <v/>
      </c>
      <c r="P396" s="17">
        <f>IF(H396&lt;20,"Low",IF(H396&lt;=60,"Medium","High"))</f>
        <v/>
      </c>
      <c r="Q396" s="17">
        <f>IF(I396&gt;0,"Yes","No")</f>
        <v/>
      </c>
      <c r="R396" s="17">
        <f>IF(N396="Yes",1,0)</f>
        <v/>
      </c>
      <c r="S396" s="17">
        <f>IF(N396=IF(OR(H396&gt;150,I396&gt;40),"Yes","No"),"Match","Mismatch")</f>
        <v/>
      </c>
    </row>
    <row r="397">
      <c r="A397" s="17" t="inlineStr">
        <is>
          <t>S00100</t>
        </is>
      </c>
      <c r="B397" s="17" t="inlineStr">
        <is>
          <t>P5367</t>
        </is>
      </c>
      <c r="C397" s="17" t="inlineStr">
        <is>
          <t>jeffreyluna</t>
        </is>
      </c>
      <c r="D397" s="17" t="inlineStr">
        <is>
          <t>Empire Wars</t>
        </is>
      </c>
      <c r="E397" s="17" t="inlineStr">
        <is>
          <t>Console</t>
        </is>
      </c>
      <c r="F397" s="17" t="inlineStr">
        <is>
          <t>East</t>
        </is>
      </c>
      <c r="G397" s="18" t="n">
        <v>45787</v>
      </c>
      <c r="H397" s="17" t="n">
        <v>107</v>
      </c>
      <c r="I397" s="17" t="n">
        <v>0</v>
      </c>
      <c r="J397" s="17" t="inlineStr">
        <is>
          <t>No Purchase</t>
        </is>
      </c>
      <c r="K397" s="17" t="inlineStr">
        <is>
          <t>Incomplete</t>
        </is>
      </c>
      <c r="L397" s="17" t="inlineStr">
        <is>
          <t>Free</t>
        </is>
      </c>
      <c r="M397" s="17" t="n">
        <v>13</v>
      </c>
      <c r="N397" s="17" t="inlineStr">
        <is>
          <t>No</t>
        </is>
      </c>
      <c r="O397" s="17">
        <f>TEXT(G397,"yyyy-mm")</f>
        <v/>
      </c>
      <c r="P397" s="17">
        <f>IF(H397&lt;20,"Low",IF(H397&lt;=60,"Medium","High"))</f>
        <v/>
      </c>
      <c r="Q397" s="17">
        <f>IF(I397&gt;0,"Yes","No")</f>
        <v/>
      </c>
      <c r="R397" s="17">
        <f>IF(N397="Yes",1,0)</f>
        <v/>
      </c>
      <c r="S397" s="17">
        <f>IF(N397=IF(OR(H397&gt;150,I397&gt;40),"Yes","No"),"Match","Mismatch")</f>
        <v/>
      </c>
    </row>
    <row r="398">
      <c r="A398" s="17" t="inlineStr">
        <is>
          <t>S00378</t>
        </is>
      </c>
      <c r="B398" s="17" t="inlineStr">
        <is>
          <t>P2591</t>
        </is>
      </c>
      <c r="C398" s="17" t="inlineStr">
        <is>
          <t>caitlingonzales</t>
        </is>
      </c>
      <c r="D398" s="17" t="inlineStr">
        <is>
          <t>BattleZone</t>
        </is>
      </c>
      <c r="E398" s="17" t="inlineStr">
        <is>
          <t>Console</t>
        </is>
      </c>
      <c r="F398" s="17" t="inlineStr">
        <is>
          <t>South</t>
        </is>
      </c>
      <c r="G398" s="18" t="n">
        <v>45788</v>
      </c>
      <c r="H398" s="17" t="n">
        <v>109</v>
      </c>
      <c r="I398" s="17" t="n">
        <v>39.87</v>
      </c>
      <c r="J398" s="17" t="inlineStr">
        <is>
          <t>Boosters</t>
        </is>
      </c>
      <c r="K398" s="17" t="inlineStr">
        <is>
          <t>Completed</t>
        </is>
      </c>
      <c r="L398" s="17" t="inlineStr">
        <is>
          <t>Paid</t>
        </is>
      </c>
      <c r="M398" s="17" t="n">
        <v>13</v>
      </c>
      <c r="N398" s="17" t="inlineStr">
        <is>
          <t>No</t>
        </is>
      </c>
      <c r="O398" s="17">
        <f>TEXT(G398,"yyyy-mm")</f>
        <v/>
      </c>
      <c r="P398" s="17">
        <f>IF(H398&lt;20,"Low",IF(H398&lt;=60,"Medium","High"))</f>
        <v/>
      </c>
      <c r="Q398" s="17">
        <f>IF(I398&gt;0,"Yes","No")</f>
        <v/>
      </c>
      <c r="R398" s="17">
        <f>IF(N398="Yes",1,0)</f>
        <v/>
      </c>
      <c r="S398" s="17">
        <f>IF(N398=IF(OR(H398&gt;150,I398&gt;40),"Yes","No"),"Match","Mismatch")</f>
        <v/>
      </c>
    </row>
    <row r="399">
      <c r="A399" s="17" t="inlineStr">
        <is>
          <t>S00197</t>
        </is>
      </c>
      <c r="B399" s="17" t="inlineStr">
        <is>
          <t>P8044</t>
        </is>
      </c>
      <c r="C399" s="17" t="inlineStr">
        <is>
          <t>henryrosales</t>
        </is>
      </c>
      <c r="D399" s="17" t="inlineStr">
        <is>
          <t>Zombie Rush</t>
        </is>
      </c>
      <c r="E399" s="17" t="inlineStr">
        <is>
          <t>Mobile</t>
        </is>
      </c>
      <c r="F399" s="17" t="inlineStr">
        <is>
          <t>North</t>
        </is>
      </c>
      <c r="G399" s="18" t="n">
        <v>45788</v>
      </c>
      <c r="H399" s="17" t="n">
        <v>138</v>
      </c>
      <c r="I399" s="17" t="n">
        <v>0</v>
      </c>
      <c r="J399" s="17" t="inlineStr">
        <is>
          <t>No Purchase</t>
        </is>
      </c>
      <c r="K399" s="17" t="inlineStr">
        <is>
          <t>Completed</t>
        </is>
      </c>
      <c r="L399" s="17" t="inlineStr">
        <is>
          <t>Free</t>
        </is>
      </c>
      <c r="M399" s="17" t="n">
        <v>47</v>
      </c>
      <c r="N399" s="17" t="inlineStr">
        <is>
          <t>No</t>
        </is>
      </c>
      <c r="O399" s="17">
        <f>TEXT(G399,"yyyy-mm")</f>
        <v/>
      </c>
      <c r="P399" s="17">
        <f>IF(H399&lt;20,"Low",IF(H399&lt;=60,"Medium","High"))</f>
        <v/>
      </c>
      <c r="Q399" s="17">
        <f>IF(I399&gt;0,"Yes","No")</f>
        <v/>
      </c>
      <c r="R399" s="17">
        <f>IF(N399="Yes",1,0)</f>
        <v/>
      </c>
      <c r="S399" s="17">
        <f>IF(N399=IF(OR(H399&gt;150,I399&gt;40),"Yes","No"),"Match","Mismatch")</f>
        <v/>
      </c>
    </row>
    <row r="400">
      <c r="A400" s="17" t="inlineStr">
        <is>
          <t>S00056</t>
        </is>
      </c>
      <c r="B400" s="17" t="inlineStr">
        <is>
          <t>P1285</t>
        </is>
      </c>
      <c r="C400" s="17" t="inlineStr">
        <is>
          <t>amylong</t>
        </is>
      </c>
      <c r="D400" s="17" t="inlineStr">
        <is>
          <t>BattleZone</t>
        </is>
      </c>
      <c r="E400" s="17" t="inlineStr">
        <is>
          <t>Mobile</t>
        </is>
      </c>
      <c r="F400" s="17" t="inlineStr">
        <is>
          <t>North</t>
        </is>
      </c>
      <c r="G400" s="18" t="n">
        <v>45788</v>
      </c>
      <c r="H400" s="17" t="n">
        <v>117</v>
      </c>
      <c r="I400" s="17" t="n">
        <v>0</v>
      </c>
      <c r="J400" s="17" t="inlineStr">
        <is>
          <t>No Purchase</t>
        </is>
      </c>
      <c r="K400" s="17" t="inlineStr">
        <is>
          <t>Exited Early</t>
        </is>
      </c>
      <c r="L400" s="17" t="inlineStr">
        <is>
          <t>Free</t>
        </is>
      </c>
      <c r="M400" s="17" t="n">
        <v>11</v>
      </c>
      <c r="N400" s="17" t="inlineStr">
        <is>
          <t>No</t>
        </is>
      </c>
      <c r="O400" s="17">
        <f>TEXT(G400,"yyyy-mm")</f>
        <v/>
      </c>
      <c r="P400" s="17">
        <f>IF(H400&lt;20,"Low",IF(H400&lt;=60,"Medium","High"))</f>
        <v/>
      </c>
      <c r="Q400" s="17">
        <f>IF(I400&gt;0,"Yes","No")</f>
        <v/>
      </c>
      <c r="R400" s="17">
        <f>IF(N400="Yes",1,0)</f>
        <v/>
      </c>
      <c r="S400" s="17">
        <f>IF(N400=IF(OR(H400&gt;150,I400&gt;40),"Yes","No"),"Match","Mismatch")</f>
        <v/>
      </c>
    </row>
    <row r="401">
      <c r="A401" s="17" t="inlineStr">
        <is>
          <t>S00470</t>
        </is>
      </c>
      <c r="B401" s="17" t="inlineStr">
        <is>
          <t>P9769</t>
        </is>
      </c>
      <c r="C401" s="17" t="inlineStr">
        <is>
          <t>marcus01</t>
        </is>
      </c>
      <c r="D401" s="17" t="inlineStr">
        <is>
          <t>Empire Wars</t>
        </is>
      </c>
      <c r="E401" s="17" t="inlineStr">
        <is>
          <t>Console</t>
        </is>
      </c>
      <c r="F401" s="17" t="inlineStr">
        <is>
          <t>East</t>
        </is>
      </c>
      <c r="G401" s="18" t="n">
        <v>45788</v>
      </c>
      <c r="H401" s="17" t="n">
        <v>73</v>
      </c>
      <c r="I401" s="17" t="n">
        <v>0</v>
      </c>
      <c r="J401" s="17" t="inlineStr">
        <is>
          <t>No Purchase</t>
        </is>
      </c>
      <c r="K401" s="17" t="inlineStr">
        <is>
          <t>Completed</t>
        </is>
      </c>
      <c r="L401" s="17" t="inlineStr">
        <is>
          <t>Free</t>
        </is>
      </c>
      <c r="M401" s="17" t="n">
        <v>46</v>
      </c>
      <c r="N401" s="17" t="inlineStr">
        <is>
          <t>No</t>
        </is>
      </c>
      <c r="O401" s="17">
        <f>TEXT(G401,"yyyy-mm")</f>
        <v/>
      </c>
      <c r="P401" s="17">
        <f>IF(H401&lt;20,"Low",IF(H401&lt;=60,"Medium","High"))</f>
        <v/>
      </c>
      <c r="Q401" s="17">
        <f>IF(I401&gt;0,"Yes","No")</f>
        <v/>
      </c>
      <c r="R401" s="17">
        <f>IF(N401="Yes",1,0)</f>
        <v/>
      </c>
      <c r="S401" s="17">
        <f>IF(N401=IF(OR(H401&gt;150,I401&gt;40),"Yes","No"),"Match","Mismatch")</f>
        <v/>
      </c>
    </row>
    <row r="402">
      <c r="A402" s="17" t="inlineStr">
        <is>
          <t>S00321</t>
        </is>
      </c>
      <c r="B402" s="17" t="inlineStr">
        <is>
          <t>P3964</t>
        </is>
      </c>
      <c r="C402" s="17" t="inlineStr">
        <is>
          <t>kristopheralvarez</t>
        </is>
      </c>
      <c r="D402" s="17" t="inlineStr">
        <is>
          <t>Zombie Rush</t>
        </is>
      </c>
      <c r="E402" s="17" t="inlineStr">
        <is>
          <t>Mobile</t>
        </is>
      </c>
      <c r="F402" s="17" t="inlineStr">
        <is>
          <t>West</t>
        </is>
      </c>
      <c r="G402" s="18" t="n">
        <v>45788</v>
      </c>
      <c r="H402" s="17" t="n">
        <v>33</v>
      </c>
      <c r="I402" s="17" t="n">
        <v>0</v>
      </c>
      <c r="J402" s="17" t="inlineStr">
        <is>
          <t>No Purchase</t>
        </is>
      </c>
      <c r="K402" s="17" t="inlineStr">
        <is>
          <t>Crashed</t>
        </is>
      </c>
      <c r="L402" s="17" t="inlineStr">
        <is>
          <t>Free</t>
        </is>
      </c>
      <c r="M402" s="17" t="n">
        <v>7</v>
      </c>
      <c r="N402" s="17" t="inlineStr">
        <is>
          <t>No</t>
        </is>
      </c>
      <c r="O402" s="17">
        <f>TEXT(G402,"yyyy-mm")</f>
        <v/>
      </c>
      <c r="P402" s="17">
        <f>IF(H402&lt;20,"Low",IF(H402&lt;=60,"Medium","High"))</f>
        <v/>
      </c>
      <c r="Q402" s="17">
        <f>IF(I402&gt;0,"Yes","No")</f>
        <v/>
      </c>
      <c r="R402" s="17">
        <f>IF(N402="Yes",1,0)</f>
        <v/>
      </c>
      <c r="S402" s="17">
        <f>IF(N402=IF(OR(H402&gt;150,I402&gt;40),"Yes","No"),"Match","Mismatch")</f>
        <v/>
      </c>
    </row>
    <row r="403">
      <c r="A403" s="17" t="inlineStr">
        <is>
          <t>S00294</t>
        </is>
      </c>
      <c r="B403" s="17" t="inlineStr">
        <is>
          <t>P2984</t>
        </is>
      </c>
      <c r="C403" s="17" t="inlineStr">
        <is>
          <t>jenniferrollins</t>
        </is>
      </c>
      <c r="D403" s="17" t="inlineStr">
        <is>
          <t>BattleZone</t>
        </is>
      </c>
      <c r="E403" s="17" t="inlineStr">
        <is>
          <t>Mobile</t>
        </is>
      </c>
      <c r="F403" s="17" t="inlineStr">
        <is>
          <t>East</t>
        </is>
      </c>
      <c r="G403" s="18" t="n">
        <v>45788</v>
      </c>
      <c r="H403" s="17" t="n">
        <v>31</v>
      </c>
      <c r="I403" s="17" t="n">
        <v>0</v>
      </c>
      <c r="J403" s="17" t="inlineStr">
        <is>
          <t>No Purchase</t>
        </is>
      </c>
      <c r="K403" s="17" t="inlineStr">
        <is>
          <t>Crashed</t>
        </is>
      </c>
      <c r="L403" s="17" t="inlineStr">
        <is>
          <t>Free</t>
        </is>
      </c>
      <c r="M403" s="17" t="n">
        <v>23</v>
      </c>
      <c r="N403" s="17" t="inlineStr">
        <is>
          <t>No</t>
        </is>
      </c>
      <c r="O403" s="17">
        <f>TEXT(G403,"yyyy-mm")</f>
        <v/>
      </c>
      <c r="P403" s="17">
        <f>IF(H403&lt;20,"Low",IF(H403&lt;=60,"Medium","High"))</f>
        <v/>
      </c>
      <c r="Q403" s="17">
        <f>IF(I403&gt;0,"Yes","No")</f>
        <v/>
      </c>
      <c r="R403" s="17">
        <f>IF(N403="Yes",1,0)</f>
        <v/>
      </c>
      <c r="S403" s="17">
        <f>IF(N403=IF(OR(H403&gt;150,I403&gt;40),"Yes","No"),"Match","Mismatch")</f>
        <v/>
      </c>
    </row>
    <row r="404">
      <c r="A404" s="17" t="inlineStr">
        <is>
          <t>S00340</t>
        </is>
      </c>
      <c r="B404" s="17" t="inlineStr">
        <is>
          <t>P6015</t>
        </is>
      </c>
      <c r="C404" s="17" t="inlineStr">
        <is>
          <t>terrychristina</t>
        </is>
      </c>
      <c r="D404" s="17" t="inlineStr">
        <is>
          <t>Zombie Rush</t>
        </is>
      </c>
      <c r="E404" s="17" t="inlineStr">
        <is>
          <t>Console</t>
        </is>
      </c>
      <c r="F404" s="17" t="inlineStr">
        <is>
          <t>South</t>
        </is>
      </c>
      <c r="G404" s="18" t="n">
        <v>45789</v>
      </c>
      <c r="H404" s="17" t="n">
        <v>168</v>
      </c>
      <c r="I404" s="17" t="n">
        <v>33.73</v>
      </c>
      <c r="J404" s="17" t="inlineStr">
        <is>
          <t>Battle Pass</t>
        </is>
      </c>
      <c r="K404" s="17" t="inlineStr">
        <is>
          <t>Completed</t>
        </is>
      </c>
      <c r="L404" s="17" t="inlineStr">
        <is>
          <t>Paid</t>
        </is>
      </c>
      <c r="M404" s="17" t="n">
        <v>48</v>
      </c>
      <c r="N404" s="17" t="inlineStr">
        <is>
          <t>Yes</t>
        </is>
      </c>
      <c r="O404" s="17">
        <f>TEXT(G404,"yyyy-mm")</f>
        <v/>
      </c>
      <c r="P404" s="17">
        <f>IF(H404&lt;20,"Low",IF(H404&lt;=60,"Medium","High"))</f>
        <v/>
      </c>
      <c r="Q404" s="17">
        <f>IF(I404&gt;0,"Yes","No")</f>
        <v/>
      </c>
      <c r="R404" s="17">
        <f>IF(N404="Yes",1,0)</f>
        <v/>
      </c>
      <c r="S404" s="17">
        <f>IF(N404=IF(OR(H404&gt;150,I404&gt;40),"Yes","No"),"Match","Mismatch")</f>
        <v/>
      </c>
    </row>
    <row r="405">
      <c r="A405" s="17" t="inlineStr">
        <is>
          <t>S00022</t>
        </is>
      </c>
      <c r="B405" s="17" t="inlineStr">
        <is>
          <t>P5785</t>
        </is>
      </c>
      <c r="C405" s="17" t="inlineStr">
        <is>
          <t>icrawford</t>
        </is>
      </c>
      <c r="D405" s="17" t="inlineStr">
        <is>
          <t>Clash of Realms</t>
        </is>
      </c>
      <c r="E405" s="17" t="inlineStr">
        <is>
          <t>Console</t>
        </is>
      </c>
      <c r="F405" s="17" t="inlineStr">
        <is>
          <t>North</t>
        </is>
      </c>
      <c r="G405" s="18" t="n">
        <v>45790</v>
      </c>
      <c r="H405" s="17" t="n">
        <v>86</v>
      </c>
      <c r="I405" s="17" t="n">
        <v>0</v>
      </c>
      <c r="J405" s="17" t="inlineStr">
        <is>
          <t>No Purchase</t>
        </is>
      </c>
      <c r="K405" s="17" t="inlineStr">
        <is>
          <t>Completed</t>
        </is>
      </c>
      <c r="L405" s="17" t="inlineStr">
        <is>
          <t>Free</t>
        </is>
      </c>
      <c r="M405" s="17" t="n">
        <v>34</v>
      </c>
      <c r="N405" s="17" t="inlineStr">
        <is>
          <t>No</t>
        </is>
      </c>
      <c r="O405" s="17">
        <f>TEXT(G405,"yyyy-mm")</f>
        <v/>
      </c>
      <c r="P405" s="17">
        <f>IF(H405&lt;20,"Low",IF(H405&lt;=60,"Medium","High"))</f>
        <v/>
      </c>
      <c r="Q405" s="17">
        <f>IF(I405&gt;0,"Yes","No")</f>
        <v/>
      </c>
      <c r="R405" s="17">
        <f>IF(N405="Yes",1,0)</f>
        <v/>
      </c>
      <c r="S405" s="17">
        <f>IF(N405=IF(OR(H405&gt;150,I405&gt;40),"Yes","No"),"Match","Mismatch")</f>
        <v/>
      </c>
    </row>
    <row r="406">
      <c r="A406" s="17" t="inlineStr">
        <is>
          <t>S00172</t>
        </is>
      </c>
      <c r="B406" s="17" t="inlineStr">
        <is>
          <t>P7943</t>
        </is>
      </c>
      <c r="C406" s="17" t="inlineStr">
        <is>
          <t>vaughnlori</t>
        </is>
      </c>
      <c r="D406" s="17" t="inlineStr">
        <is>
          <t>Clash of Realms</t>
        </is>
      </c>
      <c r="E406" s="17" t="inlineStr">
        <is>
          <t>Mobile</t>
        </is>
      </c>
      <c r="F406" s="17" t="inlineStr">
        <is>
          <t>West</t>
        </is>
      </c>
      <c r="G406" s="18" t="n">
        <v>45790</v>
      </c>
      <c r="H406" s="17" t="n">
        <v>41</v>
      </c>
      <c r="I406" s="17" t="n">
        <v>33.29</v>
      </c>
      <c r="J406" s="17" t="inlineStr">
        <is>
          <t>Boosters</t>
        </is>
      </c>
      <c r="K406" s="17" t="inlineStr">
        <is>
          <t>Completed</t>
        </is>
      </c>
      <c r="L406" s="17" t="inlineStr">
        <is>
          <t>Paid</t>
        </is>
      </c>
      <c r="M406" s="17" t="n">
        <v>29</v>
      </c>
      <c r="N406" s="17" t="inlineStr">
        <is>
          <t>No</t>
        </is>
      </c>
      <c r="O406" s="17">
        <f>TEXT(G406,"yyyy-mm")</f>
        <v/>
      </c>
      <c r="P406" s="17">
        <f>IF(H406&lt;20,"Low",IF(H406&lt;=60,"Medium","High"))</f>
        <v/>
      </c>
      <c r="Q406" s="17">
        <f>IF(I406&gt;0,"Yes","No")</f>
        <v/>
      </c>
      <c r="R406" s="17">
        <f>IF(N406="Yes",1,0)</f>
        <v/>
      </c>
      <c r="S406" s="17">
        <f>IF(N406=IF(OR(H406&gt;150,I406&gt;40),"Yes","No"),"Match","Mismatch")</f>
        <v/>
      </c>
    </row>
    <row r="407">
      <c r="A407" s="17" t="inlineStr">
        <is>
          <t>S00038</t>
        </is>
      </c>
      <c r="B407" s="17" t="inlineStr">
        <is>
          <t>P7945</t>
        </is>
      </c>
      <c r="C407" s="17" t="inlineStr">
        <is>
          <t>richardhooper</t>
        </is>
      </c>
      <c r="D407" s="17" t="inlineStr">
        <is>
          <t>BattleZone</t>
        </is>
      </c>
      <c r="E407" s="17" t="inlineStr">
        <is>
          <t>Console</t>
        </is>
      </c>
      <c r="F407" s="17" t="inlineStr">
        <is>
          <t>Central</t>
        </is>
      </c>
      <c r="G407" s="18" t="n">
        <v>45790</v>
      </c>
      <c r="H407" s="17" t="n">
        <v>121</v>
      </c>
      <c r="I407" s="17" t="n">
        <v>0</v>
      </c>
      <c r="J407" s="17" t="inlineStr">
        <is>
          <t>No Purchase</t>
        </is>
      </c>
      <c r="K407" s="17" t="inlineStr">
        <is>
          <t>Completed</t>
        </is>
      </c>
      <c r="L407" s="17" t="inlineStr">
        <is>
          <t>Free</t>
        </is>
      </c>
      <c r="M407" s="17" t="n">
        <v>14</v>
      </c>
      <c r="N407" s="17" t="inlineStr">
        <is>
          <t>No</t>
        </is>
      </c>
      <c r="O407" s="17">
        <f>TEXT(G407,"yyyy-mm")</f>
        <v/>
      </c>
      <c r="P407" s="17">
        <f>IF(H407&lt;20,"Low",IF(H407&lt;=60,"Medium","High"))</f>
        <v/>
      </c>
      <c r="Q407" s="17">
        <f>IF(I407&gt;0,"Yes","No")</f>
        <v/>
      </c>
      <c r="R407" s="17">
        <f>IF(N407="Yes",1,0)</f>
        <v/>
      </c>
      <c r="S407" s="17">
        <f>IF(N407=IF(OR(H407&gt;150,I407&gt;40),"Yes","No"),"Match","Mismatch")</f>
        <v/>
      </c>
    </row>
    <row r="408">
      <c r="A408" s="17" t="inlineStr">
        <is>
          <t>S00208</t>
        </is>
      </c>
      <c r="B408" s="17" t="inlineStr">
        <is>
          <t>P3727</t>
        </is>
      </c>
      <c r="C408" s="17" t="inlineStr">
        <is>
          <t>nathanielchavez</t>
        </is>
      </c>
      <c r="D408" s="17" t="inlineStr">
        <is>
          <t>Empire Wars</t>
        </is>
      </c>
      <c r="E408" s="17" t="inlineStr">
        <is>
          <t>Console</t>
        </is>
      </c>
      <c r="F408" s="17" t="inlineStr">
        <is>
          <t>North</t>
        </is>
      </c>
      <c r="G408" s="18" t="n">
        <v>45790</v>
      </c>
      <c r="H408" s="17" t="n">
        <v>135</v>
      </c>
      <c r="I408" s="17" t="n">
        <v>0</v>
      </c>
      <c r="J408" s="17" t="inlineStr">
        <is>
          <t>No Purchase</t>
        </is>
      </c>
      <c r="K408" s="17" t="inlineStr">
        <is>
          <t>Completed</t>
        </is>
      </c>
      <c r="L408" s="17" t="inlineStr">
        <is>
          <t>Paid</t>
        </is>
      </c>
      <c r="M408" s="17" t="n">
        <v>42</v>
      </c>
      <c r="N408" s="17" t="inlineStr">
        <is>
          <t>No</t>
        </is>
      </c>
      <c r="O408" s="17">
        <f>TEXT(G408,"yyyy-mm")</f>
        <v/>
      </c>
      <c r="P408" s="17">
        <f>IF(H408&lt;20,"Low",IF(H408&lt;=60,"Medium","High"))</f>
        <v/>
      </c>
      <c r="Q408" s="17">
        <f>IF(I408&gt;0,"Yes","No")</f>
        <v/>
      </c>
      <c r="R408" s="17">
        <f>IF(N408="Yes",1,0)</f>
        <v/>
      </c>
      <c r="S408" s="17">
        <f>IF(N408=IF(OR(H408&gt;150,I408&gt;40),"Yes","No"),"Match","Mismatch")</f>
        <v/>
      </c>
    </row>
    <row r="409">
      <c r="A409" s="17" t="inlineStr">
        <is>
          <t>S00210</t>
        </is>
      </c>
      <c r="B409" s="17" t="inlineStr">
        <is>
          <t>P9657</t>
        </is>
      </c>
      <c r="C409" s="17" t="inlineStr">
        <is>
          <t>elowe</t>
        </is>
      </c>
      <c r="D409" s="17" t="inlineStr">
        <is>
          <t>Clash of Realms</t>
        </is>
      </c>
      <c r="E409" s="17" t="inlineStr">
        <is>
          <t>PC</t>
        </is>
      </c>
      <c r="F409" s="17" t="inlineStr">
        <is>
          <t>North-East</t>
        </is>
      </c>
      <c r="G409" s="18" t="n">
        <v>45790</v>
      </c>
      <c r="H409" s="17" t="n">
        <v>41</v>
      </c>
      <c r="I409" s="17" t="n">
        <v>0</v>
      </c>
      <c r="J409" s="17" t="inlineStr">
        <is>
          <t>No Purchase</t>
        </is>
      </c>
      <c r="K409" s="17" t="inlineStr">
        <is>
          <t>Completed</t>
        </is>
      </c>
      <c r="L409" s="17" t="inlineStr">
        <is>
          <t>Free</t>
        </is>
      </c>
      <c r="M409" s="17" t="n">
        <v>14</v>
      </c>
      <c r="N409" s="17" t="inlineStr">
        <is>
          <t>No</t>
        </is>
      </c>
      <c r="O409" s="17">
        <f>TEXT(G409,"yyyy-mm")</f>
        <v/>
      </c>
      <c r="P409" s="17">
        <f>IF(H409&lt;20,"Low",IF(H409&lt;=60,"Medium","High"))</f>
        <v/>
      </c>
      <c r="Q409" s="17">
        <f>IF(I409&gt;0,"Yes","No")</f>
        <v/>
      </c>
      <c r="R409" s="17">
        <f>IF(N409="Yes",1,0)</f>
        <v/>
      </c>
      <c r="S409" s="17">
        <f>IF(N409=IF(OR(H409&gt;150,I409&gt;40),"Yes","No"),"Match","Mismatch")</f>
        <v/>
      </c>
    </row>
    <row r="410">
      <c r="A410" s="17" t="inlineStr">
        <is>
          <t>S00207</t>
        </is>
      </c>
      <c r="B410" s="17" t="inlineStr">
        <is>
          <t>P1709</t>
        </is>
      </c>
      <c r="C410" s="17" t="inlineStr">
        <is>
          <t>darren53</t>
        </is>
      </c>
      <c r="D410" s="17" t="inlineStr">
        <is>
          <t>Empire Wars</t>
        </is>
      </c>
      <c r="E410" s="17" t="inlineStr">
        <is>
          <t>Console</t>
        </is>
      </c>
      <c r="F410" s="17" t="inlineStr">
        <is>
          <t>West</t>
        </is>
      </c>
      <c r="G410" s="18" t="n">
        <v>45791</v>
      </c>
      <c r="H410" s="17" t="n">
        <v>85</v>
      </c>
      <c r="I410" s="17" t="n">
        <v>0</v>
      </c>
      <c r="J410" s="17" t="inlineStr">
        <is>
          <t>No Purchase</t>
        </is>
      </c>
      <c r="K410" s="17" t="inlineStr">
        <is>
          <t>Completed</t>
        </is>
      </c>
      <c r="L410" s="17" t="inlineStr">
        <is>
          <t>Free</t>
        </is>
      </c>
      <c r="M410" s="17" t="n">
        <v>4</v>
      </c>
      <c r="N410" s="17" t="inlineStr">
        <is>
          <t>No</t>
        </is>
      </c>
      <c r="O410" s="17">
        <f>TEXT(G410,"yyyy-mm")</f>
        <v/>
      </c>
      <c r="P410" s="17">
        <f>IF(H410&lt;20,"Low",IF(H410&lt;=60,"Medium","High"))</f>
        <v/>
      </c>
      <c r="Q410" s="17">
        <f>IF(I410&gt;0,"Yes","No")</f>
        <v/>
      </c>
      <c r="R410" s="17">
        <f>IF(N410="Yes",1,0)</f>
        <v/>
      </c>
      <c r="S410" s="17">
        <f>IF(N410=IF(OR(H410&gt;150,I410&gt;40),"Yes","No"),"Match","Mismatch")</f>
        <v/>
      </c>
    </row>
    <row r="411">
      <c r="A411" s="17" t="inlineStr">
        <is>
          <t>S00118</t>
        </is>
      </c>
      <c r="B411" s="17" t="inlineStr">
        <is>
          <t>P8621</t>
        </is>
      </c>
      <c r="C411" s="17" t="inlineStr">
        <is>
          <t>davisamy</t>
        </is>
      </c>
      <c r="D411" s="17" t="inlineStr">
        <is>
          <t>Empire Wars</t>
        </is>
      </c>
      <c r="E411" s="17" t="inlineStr">
        <is>
          <t>Mobile</t>
        </is>
      </c>
      <c r="F411" s="17" t="inlineStr">
        <is>
          <t>North-East</t>
        </is>
      </c>
      <c r="G411" s="18" t="n">
        <v>45791</v>
      </c>
      <c r="H411" s="17" t="n">
        <v>98</v>
      </c>
      <c r="I411" s="17" t="n">
        <v>0</v>
      </c>
      <c r="J411" s="17" t="inlineStr">
        <is>
          <t>No Purchase</t>
        </is>
      </c>
      <c r="K411" s="17" t="inlineStr">
        <is>
          <t>Crashed</t>
        </is>
      </c>
      <c r="L411" s="17" t="inlineStr">
        <is>
          <t>Free</t>
        </is>
      </c>
      <c r="M411" s="17" t="n">
        <v>7</v>
      </c>
      <c r="N411" s="17" t="inlineStr">
        <is>
          <t>No</t>
        </is>
      </c>
      <c r="O411" s="17">
        <f>TEXT(G411,"yyyy-mm")</f>
        <v/>
      </c>
      <c r="P411" s="17">
        <f>IF(H411&lt;20,"Low",IF(H411&lt;=60,"Medium","High"))</f>
        <v/>
      </c>
      <c r="Q411" s="17">
        <f>IF(I411&gt;0,"Yes","No")</f>
        <v/>
      </c>
      <c r="R411" s="17">
        <f>IF(N411="Yes",1,0)</f>
        <v/>
      </c>
      <c r="S411" s="17">
        <f>IF(N411=IF(OR(H411&gt;150,I411&gt;40),"Yes","No"),"Match","Mismatch")</f>
        <v/>
      </c>
    </row>
    <row r="412">
      <c r="A412" s="17" t="inlineStr">
        <is>
          <t>S00452</t>
        </is>
      </c>
      <c r="B412" s="17" t="inlineStr">
        <is>
          <t>P9365</t>
        </is>
      </c>
      <c r="C412" s="17" t="inlineStr">
        <is>
          <t>rware</t>
        </is>
      </c>
      <c r="D412" s="17" t="inlineStr">
        <is>
          <t>SpeedX</t>
        </is>
      </c>
      <c r="E412" s="17" t="inlineStr">
        <is>
          <t>Mobile</t>
        </is>
      </c>
      <c r="F412" s="17" t="inlineStr">
        <is>
          <t>North-East</t>
        </is>
      </c>
      <c r="G412" s="18" t="n">
        <v>45791</v>
      </c>
      <c r="H412" s="17" t="n">
        <v>39</v>
      </c>
      <c r="I412" s="17" t="n">
        <v>0</v>
      </c>
      <c r="J412" s="17" t="inlineStr">
        <is>
          <t>No Purchase</t>
        </is>
      </c>
      <c r="K412" s="17" t="inlineStr">
        <is>
          <t>Completed</t>
        </is>
      </c>
      <c r="L412" s="17" t="inlineStr">
        <is>
          <t>Free</t>
        </is>
      </c>
      <c r="M412" s="17" t="n">
        <v>42</v>
      </c>
      <c r="N412" s="17" t="inlineStr">
        <is>
          <t>No</t>
        </is>
      </c>
      <c r="O412" s="17">
        <f>TEXT(G412,"yyyy-mm")</f>
        <v/>
      </c>
      <c r="P412" s="17">
        <f>IF(H412&lt;20,"Low",IF(H412&lt;=60,"Medium","High"))</f>
        <v/>
      </c>
      <c r="Q412" s="17">
        <f>IF(I412&gt;0,"Yes","No")</f>
        <v/>
      </c>
      <c r="R412" s="17">
        <f>IF(N412="Yes",1,0)</f>
        <v/>
      </c>
      <c r="S412" s="17">
        <f>IF(N412=IF(OR(H412&gt;150,I412&gt;40),"Yes","No"),"Match","Mismatch")</f>
        <v/>
      </c>
    </row>
    <row r="413">
      <c r="A413" s="17" t="inlineStr">
        <is>
          <t>S00010</t>
        </is>
      </c>
      <c r="B413" s="17" t="inlineStr">
        <is>
          <t>P4220</t>
        </is>
      </c>
      <c r="C413" s="17" t="inlineStr">
        <is>
          <t>ryanmarshall</t>
        </is>
      </c>
      <c r="D413" s="17" t="inlineStr">
        <is>
          <t>Zombie Rush</t>
        </is>
      </c>
      <c r="E413" s="17" t="inlineStr">
        <is>
          <t>PC</t>
        </is>
      </c>
      <c r="F413" s="17" t="inlineStr">
        <is>
          <t>North</t>
        </is>
      </c>
      <c r="G413" s="18" t="n">
        <v>45791</v>
      </c>
      <c r="H413" s="17" t="n">
        <v>138</v>
      </c>
      <c r="I413" s="17" t="n">
        <v>0</v>
      </c>
      <c r="J413" s="17" t="inlineStr">
        <is>
          <t>No Purchase</t>
        </is>
      </c>
      <c r="K413" s="17" t="inlineStr">
        <is>
          <t>Exited Early</t>
        </is>
      </c>
      <c r="L413" s="17" t="inlineStr">
        <is>
          <t>Free</t>
        </is>
      </c>
      <c r="M413" s="17" t="n">
        <v>48</v>
      </c>
      <c r="N413" s="17" t="inlineStr">
        <is>
          <t>No</t>
        </is>
      </c>
      <c r="O413" s="17">
        <f>TEXT(G413,"yyyy-mm")</f>
        <v/>
      </c>
      <c r="P413" s="17">
        <f>IF(H413&lt;20,"Low",IF(H413&lt;=60,"Medium","High"))</f>
        <v/>
      </c>
      <c r="Q413" s="17">
        <f>IF(I413&gt;0,"Yes","No")</f>
        <v/>
      </c>
      <c r="R413" s="17">
        <f>IF(N413="Yes",1,0)</f>
        <v/>
      </c>
      <c r="S413" s="17">
        <f>IF(N413=IF(OR(H413&gt;150,I413&gt;40),"Yes","No"),"Match","Mismatch")</f>
        <v/>
      </c>
    </row>
    <row r="414">
      <c r="A414" s="17" t="inlineStr">
        <is>
          <t>S00155</t>
        </is>
      </c>
      <c r="B414" s="17" t="inlineStr">
        <is>
          <t>P2328</t>
        </is>
      </c>
      <c r="C414" s="17" t="inlineStr">
        <is>
          <t>byrdevelyn</t>
        </is>
      </c>
      <c r="D414" s="17" t="inlineStr">
        <is>
          <t>Zombie Rush</t>
        </is>
      </c>
      <c r="E414" s="17" t="inlineStr">
        <is>
          <t>Mobile</t>
        </is>
      </c>
      <c r="F414" s="17" t="inlineStr">
        <is>
          <t>North-East</t>
        </is>
      </c>
      <c r="G414" s="18" t="n">
        <v>45792</v>
      </c>
      <c r="H414" s="17" t="n">
        <v>171</v>
      </c>
      <c r="I414" s="17" t="n">
        <v>18.03</v>
      </c>
      <c r="J414" s="17" t="inlineStr">
        <is>
          <t>Skins</t>
        </is>
      </c>
      <c r="K414" s="17" t="inlineStr">
        <is>
          <t>Completed</t>
        </is>
      </c>
      <c r="L414" s="17" t="inlineStr">
        <is>
          <t>Paid</t>
        </is>
      </c>
      <c r="M414" s="17" t="n">
        <v>43</v>
      </c>
      <c r="N414" s="17" t="inlineStr">
        <is>
          <t>Yes</t>
        </is>
      </c>
      <c r="O414" s="17">
        <f>TEXT(G414,"yyyy-mm")</f>
        <v/>
      </c>
      <c r="P414" s="17">
        <f>IF(H414&lt;20,"Low",IF(H414&lt;=60,"Medium","High"))</f>
        <v/>
      </c>
      <c r="Q414" s="17">
        <f>IF(I414&gt;0,"Yes","No")</f>
        <v/>
      </c>
      <c r="R414" s="17">
        <f>IF(N414="Yes",1,0)</f>
        <v/>
      </c>
      <c r="S414" s="17">
        <f>IF(N414=IF(OR(H414&gt;150,I414&gt;40),"Yes","No"),"Match","Mismatch")</f>
        <v/>
      </c>
    </row>
    <row r="415">
      <c r="A415" s="17" t="inlineStr">
        <is>
          <t>S00442</t>
        </is>
      </c>
      <c r="B415" s="17" t="inlineStr">
        <is>
          <t>P9949</t>
        </is>
      </c>
      <c r="C415" s="17" t="inlineStr">
        <is>
          <t>brenda52</t>
        </is>
      </c>
      <c r="D415" s="17" t="inlineStr">
        <is>
          <t>BattleZone</t>
        </is>
      </c>
      <c r="E415" s="17" t="inlineStr">
        <is>
          <t>Console</t>
        </is>
      </c>
      <c r="F415" s="17" t="inlineStr">
        <is>
          <t>North-East</t>
        </is>
      </c>
      <c r="G415" s="18" t="n">
        <v>45793</v>
      </c>
      <c r="H415" s="17" t="n">
        <v>166</v>
      </c>
      <c r="I415" s="17" t="n">
        <v>0</v>
      </c>
      <c r="J415" s="17" t="inlineStr">
        <is>
          <t>No Purchase</t>
        </is>
      </c>
      <c r="K415" s="17" t="inlineStr">
        <is>
          <t>Completed</t>
        </is>
      </c>
      <c r="L415" s="17" t="inlineStr">
        <is>
          <t>Free</t>
        </is>
      </c>
      <c r="M415" s="17" t="n">
        <v>27</v>
      </c>
      <c r="N415" s="17" t="inlineStr">
        <is>
          <t>Yes</t>
        </is>
      </c>
      <c r="O415" s="17">
        <f>TEXT(G415,"yyyy-mm")</f>
        <v/>
      </c>
      <c r="P415" s="17">
        <f>IF(H415&lt;20,"Low",IF(H415&lt;=60,"Medium","High"))</f>
        <v/>
      </c>
      <c r="Q415" s="17">
        <f>IF(I415&gt;0,"Yes","No")</f>
        <v/>
      </c>
      <c r="R415" s="17">
        <f>IF(N415="Yes",1,0)</f>
        <v/>
      </c>
      <c r="S415" s="17">
        <f>IF(N415=IF(OR(H415&gt;150,I415&gt;40),"Yes","No"),"Match","Mismatch")</f>
        <v/>
      </c>
    </row>
    <row r="416">
      <c r="A416" s="17" t="inlineStr">
        <is>
          <t>S00490</t>
        </is>
      </c>
      <c r="B416" s="17" t="inlineStr">
        <is>
          <t>P9973</t>
        </is>
      </c>
      <c r="C416" s="17" t="inlineStr">
        <is>
          <t>ilambert</t>
        </is>
      </c>
      <c r="D416" s="17" t="inlineStr">
        <is>
          <t>Clash of Realms</t>
        </is>
      </c>
      <c r="E416" s="17" t="inlineStr">
        <is>
          <t>Console</t>
        </is>
      </c>
      <c r="F416" s="17" t="inlineStr">
        <is>
          <t>West</t>
        </is>
      </c>
      <c r="G416" s="18" t="n">
        <v>45793</v>
      </c>
      <c r="H416" s="17" t="n">
        <v>146</v>
      </c>
      <c r="I416" s="17" t="n">
        <v>0</v>
      </c>
      <c r="J416" s="17" t="inlineStr">
        <is>
          <t>No Purchase</t>
        </is>
      </c>
      <c r="K416" s="17" t="inlineStr">
        <is>
          <t>Crashed</t>
        </is>
      </c>
      <c r="L416" s="17" t="inlineStr">
        <is>
          <t>Free</t>
        </is>
      </c>
      <c r="M416" s="17" t="n">
        <v>2</v>
      </c>
      <c r="N416" s="17" t="inlineStr">
        <is>
          <t>No</t>
        </is>
      </c>
      <c r="O416" s="17">
        <f>TEXT(G416,"yyyy-mm")</f>
        <v/>
      </c>
      <c r="P416" s="17">
        <f>IF(H416&lt;20,"Low",IF(H416&lt;=60,"Medium","High"))</f>
        <v/>
      </c>
      <c r="Q416" s="17">
        <f>IF(I416&gt;0,"Yes","No")</f>
        <v/>
      </c>
      <c r="R416" s="17">
        <f>IF(N416="Yes",1,0)</f>
        <v/>
      </c>
      <c r="S416" s="17">
        <f>IF(N416=IF(OR(H416&gt;150,I416&gt;40),"Yes","No"),"Match","Mismatch")</f>
        <v/>
      </c>
    </row>
    <row r="417">
      <c r="A417" s="17" t="inlineStr">
        <is>
          <t>S00327</t>
        </is>
      </c>
      <c r="B417" s="17" t="inlineStr">
        <is>
          <t>P2736</t>
        </is>
      </c>
      <c r="C417" s="17" t="inlineStr">
        <is>
          <t>lcase</t>
        </is>
      </c>
      <c r="D417" s="17" t="inlineStr">
        <is>
          <t>Empire Wars</t>
        </is>
      </c>
      <c r="E417" s="17" t="inlineStr">
        <is>
          <t>Mobile</t>
        </is>
      </c>
      <c r="F417" s="17" t="inlineStr">
        <is>
          <t>Central</t>
        </is>
      </c>
      <c r="G417" s="18" t="n">
        <v>45793</v>
      </c>
      <c r="H417" s="17" t="n">
        <v>142</v>
      </c>
      <c r="I417" s="17" t="n">
        <v>0</v>
      </c>
      <c r="J417" s="17" t="inlineStr">
        <is>
          <t>No Purchase</t>
        </is>
      </c>
      <c r="K417" s="17" t="inlineStr">
        <is>
          <t>Incomplete</t>
        </is>
      </c>
      <c r="L417" s="17" t="inlineStr">
        <is>
          <t>Free</t>
        </is>
      </c>
      <c r="M417" s="17" t="n">
        <v>49</v>
      </c>
      <c r="N417" s="17" t="inlineStr">
        <is>
          <t>No</t>
        </is>
      </c>
      <c r="O417" s="17">
        <f>TEXT(G417,"yyyy-mm")</f>
        <v/>
      </c>
      <c r="P417" s="17">
        <f>IF(H417&lt;20,"Low",IF(H417&lt;=60,"Medium","High"))</f>
        <v/>
      </c>
      <c r="Q417" s="17">
        <f>IF(I417&gt;0,"Yes","No")</f>
        <v/>
      </c>
      <c r="R417" s="17">
        <f>IF(N417="Yes",1,0)</f>
        <v/>
      </c>
      <c r="S417" s="17">
        <f>IF(N417=IF(OR(H417&gt;150,I417&gt;40),"Yes","No"),"Match","Mismatch")</f>
        <v/>
      </c>
    </row>
    <row r="418">
      <c r="A418" s="17" t="inlineStr">
        <is>
          <t>S00166</t>
        </is>
      </c>
      <c r="B418" s="17" t="inlineStr">
        <is>
          <t>P9011</t>
        </is>
      </c>
      <c r="C418" s="17" t="inlineStr">
        <is>
          <t>robertroberts</t>
        </is>
      </c>
      <c r="D418" s="17" t="inlineStr">
        <is>
          <t>BattleZone</t>
        </is>
      </c>
      <c r="E418" s="17" t="inlineStr">
        <is>
          <t>Console</t>
        </is>
      </c>
      <c r="F418" s="17" t="inlineStr">
        <is>
          <t>East</t>
        </is>
      </c>
      <c r="G418" s="18" t="n">
        <v>45794</v>
      </c>
      <c r="H418" s="17" t="n">
        <v>153</v>
      </c>
      <c r="I418" s="17" t="n">
        <v>0</v>
      </c>
      <c r="J418" s="17" t="inlineStr">
        <is>
          <t>No Purchase</t>
        </is>
      </c>
      <c r="K418" s="17" t="inlineStr">
        <is>
          <t>Completed</t>
        </is>
      </c>
      <c r="L418" s="17" t="inlineStr">
        <is>
          <t>Free</t>
        </is>
      </c>
      <c r="M418" s="17" t="n">
        <v>45</v>
      </c>
      <c r="N418" s="17" t="inlineStr">
        <is>
          <t>Yes</t>
        </is>
      </c>
      <c r="O418" s="17">
        <f>TEXT(G418,"yyyy-mm")</f>
        <v/>
      </c>
      <c r="P418" s="17">
        <f>IF(H418&lt;20,"Low",IF(H418&lt;=60,"Medium","High"))</f>
        <v/>
      </c>
      <c r="Q418" s="17">
        <f>IF(I418&gt;0,"Yes","No")</f>
        <v/>
      </c>
      <c r="R418" s="17">
        <f>IF(N418="Yes",1,0)</f>
        <v/>
      </c>
      <c r="S418" s="17">
        <f>IF(N418=IF(OR(H418&gt;150,I418&gt;40),"Yes","No"),"Match","Mismatch")</f>
        <v/>
      </c>
    </row>
    <row r="419">
      <c r="A419" s="17" t="inlineStr">
        <is>
          <t>S00176</t>
        </is>
      </c>
      <c r="B419" s="17" t="inlineStr">
        <is>
          <t>P3229</t>
        </is>
      </c>
      <c r="C419" s="17" t="inlineStr">
        <is>
          <t>gina94</t>
        </is>
      </c>
      <c r="D419" s="17" t="inlineStr">
        <is>
          <t>Empire Wars</t>
        </is>
      </c>
      <c r="E419" s="17" t="inlineStr">
        <is>
          <t>Mobile</t>
        </is>
      </c>
      <c r="F419" s="17" t="inlineStr">
        <is>
          <t>West</t>
        </is>
      </c>
      <c r="G419" s="18" t="n">
        <v>45794</v>
      </c>
      <c r="H419" s="17" t="n">
        <v>26</v>
      </c>
      <c r="I419" s="17" t="n">
        <v>0</v>
      </c>
      <c r="J419" s="17" t="inlineStr">
        <is>
          <t>No Purchase</t>
        </is>
      </c>
      <c r="K419" s="17" t="inlineStr">
        <is>
          <t>Completed</t>
        </is>
      </c>
      <c r="L419" s="17" t="inlineStr">
        <is>
          <t>Free</t>
        </is>
      </c>
      <c r="M419" s="17" t="n">
        <v>22</v>
      </c>
      <c r="N419" s="17" t="inlineStr">
        <is>
          <t>No</t>
        </is>
      </c>
      <c r="O419" s="17">
        <f>TEXT(G419,"yyyy-mm")</f>
        <v/>
      </c>
      <c r="P419" s="17">
        <f>IF(H419&lt;20,"Low",IF(H419&lt;=60,"Medium","High"))</f>
        <v/>
      </c>
      <c r="Q419" s="17">
        <f>IF(I419&gt;0,"Yes","No")</f>
        <v/>
      </c>
      <c r="R419" s="17">
        <f>IF(N419="Yes",1,0)</f>
        <v/>
      </c>
      <c r="S419" s="17">
        <f>IF(N419=IF(OR(H419&gt;150,I419&gt;40),"Yes","No"),"Match","Mismatch")</f>
        <v/>
      </c>
    </row>
    <row r="420">
      <c r="A420" s="17" t="inlineStr">
        <is>
          <t>S00269</t>
        </is>
      </c>
      <c r="B420" s="17" t="inlineStr">
        <is>
          <t>P3615</t>
        </is>
      </c>
      <c r="C420" s="17" t="inlineStr">
        <is>
          <t>tamarafowler</t>
        </is>
      </c>
      <c r="D420" s="17" t="inlineStr">
        <is>
          <t>Zombie Rush</t>
        </is>
      </c>
      <c r="E420" s="17" t="inlineStr">
        <is>
          <t>Mobile</t>
        </is>
      </c>
      <c r="F420" s="17" t="inlineStr">
        <is>
          <t>East</t>
        </is>
      </c>
      <c r="G420" s="18" t="n">
        <v>45794</v>
      </c>
      <c r="H420" s="17" t="n">
        <v>122</v>
      </c>
      <c r="I420" s="17" t="n">
        <v>0</v>
      </c>
      <c r="J420" s="17" t="inlineStr">
        <is>
          <t>No Purchase</t>
        </is>
      </c>
      <c r="K420" s="17" t="inlineStr">
        <is>
          <t>Completed</t>
        </is>
      </c>
      <c r="L420" s="17" t="inlineStr">
        <is>
          <t>Free</t>
        </is>
      </c>
      <c r="M420" s="17" t="n">
        <v>28</v>
      </c>
      <c r="N420" s="17" t="inlineStr">
        <is>
          <t>No</t>
        </is>
      </c>
      <c r="O420" s="17">
        <f>TEXT(G420,"yyyy-mm")</f>
        <v/>
      </c>
      <c r="P420" s="17">
        <f>IF(H420&lt;20,"Low",IF(H420&lt;=60,"Medium","High"))</f>
        <v/>
      </c>
      <c r="Q420" s="17">
        <f>IF(I420&gt;0,"Yes","No")</f>
        <v/>
      </c>
      <c r="R420" s="17">
        <f>IF(N420="Yes",1,0)</f>
        <v/>
      </c>
      <c r="S420" s="17">
        <f>IF(N420=IF(OR(H420&gt;150,I420&gt;40),"Yes","No"),"Match","Mismatch")</f>
        <v/>
      </c>
    </row>
    <row r="421">
      <c r="A421" s="17" t="inlineStr">
        <is>
          <t>S00137</t>
        </is>
      </c>
      <c r="B421" s="17" t="inlineStr">
        <is>
          <t>P4039</t>
        </is>
      </c>
      <c r="C421" s="17" t="inlineStr">
        <is>
          <t>alanguerrero</t>
        </is>
      </c>
      <c r="D421" s="17" t="inlineStr">
        <is>
          <t>SpeedX</t>
        </is>
      </c>
      <c r="E421" s="17" t="inlineStr">
        <is>
          <t>PC</t>
        </is>
      </c>
      <c r="F421" s="17" t="inlineStr">
        <is>
          <t>Central</t>
        </is>
      </c>
      <c r="G421" s="18" t="n">
        <v>45794</v>
      </c>
      <c r="H421" s="17" t="n">
        <v>115</v>
      </c>
      <c r="I421" s="17" t="n">
        <v>0</v>
      </c>
      <c r="J421" s="17" t="inlineStr">
        <is>
          <t>No Purchase</t>
        </is>
      </c>
      <c r="K421" s="17" t="inlineStr">
        <is>
          <t>Crashed</t>
        </is>
      </c>
      <c r="L421" s="17" t="inlineStr">
        <is>
          <t>Free</t>
        </is>
      </c>
      <c r="M421" s="17" t="n">
        <v>42</v>
      </c>
      <c r="N421" s="17" t="inlineStr">
        <is>
          <t>No</t>
        </is>
      </c>
      <c r="O421" s="17">
        <f>TEXT(G421,"yyyy-mm")</f>
        <v/>
      </c>
      <c r="P421" s="17">
        <f>IF(H421&lt;20,"Low",IF(H421&lt;=60,"Medium","High"))</f>
        <v/>
      </c>
      <c r="Q421" s="17">
        <f>IF(I421&gt;0,"Yes","No")</f>
        <v/>
      </c>
      <c r="R421" s="17">
        <f>IF(N421="Yes",1,0)</f>
        <v/>
      </c>
      <c r="S421" s="17">
        <f>IF(N421=IF(OR(H421&gt;150,I421&gt;40),"Yes","No"),"Match","Mismatch")</f>
        <v/>
      </c>
    </row>
    <row r="422">
      <c r="A422" s="17" t="inlineStr">
        <is>
          <t>S00014</t>
        </is>
      </c>
      <c r="B422" s="17" t="inlineStr">
        <is>
          <t>P6935</t>
        </is>
      </c>
      <c r="C422" s="17" t="inlineStr">
        <is>
          <t>yjohnson</t>
        </is>
      </c>
      <c r="D422" s="17" t="inlineStr">
        <is>
          <t>BattleZone</t>
        </is>
      </c>
      <c r="E422" s="17" t="inlineStr">
        <is>
          <t>PC</t>
        </is>
      </c>
      <c r="F422" s="17" t="inlineStr">
        <is>
          <t>East</t>
        </is>
      </c>
      <c r="G422" s="18" t="n">
        <v>45794</v>
      </c>
      <c r="H422" s="17" t="n">
        <v>78</v>
      </c>
      <c r="I422" s="17" t="n">
        <v>0</v>
      </c>
      <c r="J422" s="17" t="inlineStr">
        <is>
          <t>No Purchase</t>
        </is>
      </c>
      <c r="K422" s="17" t="inlineStr">
        <is>
          <t>Completed</t>
        </is>
      </c>
      <c r="L422" s="17" t="inlineStr">
        <is>
          <t>Free</t>
        </is>
      </c>
      <c r="M422" s="17" t="n">
        <v>35</v>
      </c>
      <c r="N422" s="17" t="inlineStr">
        <is>
          <t>No</t>
        </is>
      </c>
      <c r="O422" s="17">
        <f>TEXT(G422,"yyyy-mm")</f>
        <v/>
      </c>
      <c r="P422" s="17">
        <f>IF(H422&lt;20,"Low",IF(H422&lt;=60,"Medium","High"))</f>
        <v/>
      </c>
      <c r="Q422" s="17">
        <f>IF(I422&gt;0,"Yes","No")</f>
        <v/>
      </c>
      <c r="R422" s="17">
        <f>IF(N422="Yes",1,0)</f>
        <v/>
      </c>
      <c r="S422" s="17">
        <f>IF(N422=IF(OR(H422&gt;150,I422&gt;40),"Yes","No"),"Match","Mismatch")</f>
        <v/>
      </c>
    </row>
    <row r="423">
      <c r="A423" s="17" t="inlineStr">
        <is>
          <t>S00306</t>
        </is>
      </c>
      <c r="B423" s="17" t="inlineStr">
        <is>
          <t>P2906</t>
        </is>
      </c>
      <c r="C423" s="17" t="inlineStr">
        <is>
          <t>jacob24</t>
        </is>
      </c>
      <c r="D423" s="17" t="inlineStr">
        <is>
          <t>Empire Wars</t>
        </is>
      </c>
      <c r="E423" s="17" t="inlineStr">
        <is>
          <t>PC</t>
        </is>
      </c>
      <c r="F423" s="17" t="inlineStr">
        <is>
          <t>East</t>
        </is>
      </c>
      <c r="G423" s="18" t="n">
        <v>45794</v>
      </c>
      <c r="H423" s="17" t="n">
        <v>31</v>
      </c>
      <c r="I423" s="17" t="n">
        <v>0</v>
      </c>
      <c r="J423" s="17" t="inlineStr">
        <is>
          <t>No Purchase</t>
        </is>
      </c>
      <c r="K423" s="17" t="inlineStr">
        <is>
          <t>Completed</t>
        </is>
      </c>
      <c r="L423" s="17" t="inlineStr">
        <is>
          <t>Free</t>
        </is>
      </c>
      <c r="M423" s="17" t="n">
        <v>18</v>
      </c>
      <c r="N423" s="17" t="inlineStr">
        <is>
          <t>No</t>
        </is>
      </c>
      <c r="O423" s="17">
        <f>TEXT(G423,"yyyy-mm")</f>
        <v/>
      </c>
      <c r="P423" s="17">
        <f>IF(H423&lt;20,"Low",IF(H423&lt;=60,"Medium","High"))</f>
        <v/>
      </c>
      <c r="Q423" s="17">
        <f>IF(I423&gt;0,"Yes","No")</f>
        <v/>
      </c>
      <c r="R423" s="17">
        <f>IF(N423="Yes",1,0)</f>
        <v/>
      </c>
      <c r="S423" s="17">
        <f>IF(N423=IF(OR(H423&gt;150,I423&gt;40),"Yes","No"),"Match","Mismatch")</f>
        <v/>
      </c>
    </row>
    <row r="424">
      <c r="A424" s="17" t="inlineStr">
        <is>
          <t>S00104</t>
        </is>
      </c>
      <c r="B424" s="17" t="inlineStr">
        <is>
          <t>P9492</t>
        </is>
      </c>
      <c r="C424" s="17" t="inlineStr">
        <is>
          <t>ggriffith</t>
        </is>
      </c>
      <c r="D424" s="17" t="inlineStr">
        <is>
          <t>Empire Wars</t>
        </is>
      </c>
      <c r="E424" s="17" t="inlineStr">
        <is>
          <t>Console</t>
        </is>
      </c>
      <c r="F424" s="17" t="inlineStr">
        <is>
          <t>West</t>
        </is>
      </c>
      <c r="G424" s="18" t="n">
        <v>45795</v>
      </c>
      <c r="H424" s="17" t="n">
        <v>90</v>
      </c>
      <c r="I424" s="17" t="n">
        <v>0</v>
      </c>
      <c r="J424" s="17" t="inlineStr">
        <is>
          <t>No Purchase</t>
        </is>
      </c>
      <c r="K424" s="17" t="inlineStr">
        <is>
          <t>Completed</t>
        </is>
      </c>
      <c r="L424" s="17" t="inlineStr">
        <is>
          <t>Free</t>
        </is>
      </c>
      <c r="M424" s="17" t="n">
        <v>3</v>
      </c>
      <c r="N424" s="17" t="inlineStr">
        <is>
          <t>No</t>
        </is>
      </c>
      <c r="O424" s="17">
        <f>TEXT(G424,"yyyy-mm")</f>
        <v/>
      </c>
      <c r="P424" s="17">
        <f>IF(H424&lt;20,"Low",IF(H424&lt;=60,"Medium","High"))</f>
        <v/>
      </c>
      <c r="Q424" s="17">
        <f>IF(I424&gt;0,"Yes","No")</f>
        <v/>
      </c>
      <c r="R424" s="17">
        <f>IF(N424="Yes",1,0)</f>
        <v/>
      </c>
      <c r="S424" s="17">
        <f>IF(N424=IF(OR(H424&gt;150,I424&gt;40),"Yes","No"),"Match","Mismatch")</f>
        <v/>
      </c>
    </row>
    <row r="425">
      <c r="A425" s="17" t="inlineStr">
        <is>
          <t>S00230</t>
        </is>
      </c>
      <c r="B425" s="17" t="inlineStr">
        <is>
          <t>P7236</t>
        </is>
      </c>
      <c r="C425" s="17" t="inlineStr">
        <is>
          <t>zhopkins</t>
        </is>
      </c>
      <c r="D425" s="17" t="inlineStr">
        <is>
          <t>SpeedX</t>
        </is>
      </c>
      <c r="E425" s="17" t="inlineStr">
        <is>
          <t>PC</t>
        </is>
      </c>
      <c r="F425" s="17" t="inlineStr">
        <is>
          <t>Central</t>
        </is>
      </c>
      <c r="G425" s="18" t="n">
        <v>45795</v>
      </c>
      <c r="H425" s="17" t="n">
        <v>98</v>
      </c>
      <c r="I425" s="17" t="n">
        <v>27.66</v>
      </c>
      <c r="J425" s="17" t="inlineStr">
        <is>
          <t>Boosters</t>
        </is>
      </c>
      <c r="K425" s="17" t="inlineStr">
        <is>
          <t>Completed</t>
        </is>
      </c>
      <c r="L425" s="17" t="inlineStr">
        <is>
          <t>Paid</t>
        </is>
      </c>
      <c r="M425" s="17" t="n">
        <v>27</v>
      </c>
      <c r="N425" s="17" t="inlineStr">
        <is>
          <t>No</t>
        </is>
      </c>
      <c r="O425" s="17">
        <f>TEXT(G425,"yyyy-mm")</f>
        <v/>
      </c>
      <c r="P425" s="17">
        <f>IF(H425&lt;20,"Low",IF(H425&lt;=60,"Medium","High"))</f>
        <v/>
      </c>
      <c r="Q425" s="17">
        <f>IF(I425&gt;0,"Yes","No")</f>
        <v/>
      </c>
      <c r="R425" s="17">
        <f>IF(N425="Yes",1,0)</f>
        <v/>
      </c>
      <c r="S425" s="17">
        <f>IF(N425=IF(OR(H425&gt;150,I425&gt;40),"Yes","No"),"Match","Mismatch")</f>
        <v/>
      </c>
    </row>
    <row r="426">
      <c r="A426" s="17" t="inlineStr">
        <is>
          <t>S00478</t>
        </is>
      </c>
      <c r="B426" s="17" t="inlineStr">
        <is>
          <t>P3378</t>
        </is>
      </c>
      <c r="C426" s="17" t="inlineStr">
        <is>
          <t>adamsbarbara</t>
        </is>
      </c>
      <c r="D426" s="17" t="inlineStr">
        <is>
          <t>SpeedX</t>
        </is>
      </c>
      <c r="E426" s="17" t="inlineStr">
        <is>
          <t>Console</t>
        </is>
      </c>
      <c r="F426" s="17" t="inlineStr">
        <is>
          <t>South</t>
        </is>
      </c>
      <c r="G426" s="18" t="n">
        <v>45795</v>
      </c>
      <c r="H426" s="17" t="n">
        <v>93</v>
      </c>
      <c r="I426" s="17" t="n">
        <v>0</v>
      </c>
      <c r="J426" s="17" t="inlineStr">
        <is>
          <t>No Purchase</t>
        </is>
      </c>
      <c r="K426" s="17" t="inlineStr">
        <is>
          <t>Completed</t>
        </is>
      </c>
      <c r="L426" s="17" t="inlineStr">
        <is>
          <t>Free</t>
        </is>
      </c>
      <c r="M426" s="17" t="n">
        <v>26</v>
      </c>
      <c r="N426" s="17" t="inlineStr">
        <is>
          <t>No</t>
        </is>
      </c>
      <c r="O426" s="17">
        <f>TEXT(G426,"yyyy-mm")</f>
        <v/>
      </c>
      <c r="P426" s="17">
        <f>IF(H426&lt;20,"Low",IF(H426&lt;=60,"Medium","High"))</f>
        <v/>
      </c>
      <c r="Q426" s="17">
        <f>IF(I426&gt;0,"Yes","No")</f>
        <v/>
      </c>
      <c r="R426" s="17">
        <f>IF(N426="Yes",1,0)</f>
        <v/>
      </c>
      <c r="S426" s="17">
        <f>IF(N426=IF(OR(H426&gt;150,I426&gt;40),"Yes","No"),"Match","Mismatch")</f>
        <v/>
      </c>
    </row>
    <row r="427">
      <c r="A427" s="17" t="inlineStr">
        <is>
          <t>S00444</t>
        </is>
      </c>
      <c r="B427" s="17" t="inlineStr">
        <is>
          <t>P8787</t>
        </is>
      </c>
      <c r="C427" s="17" t="inlineStr">
        <is>
          <t>jamesbarber</t>
        </is>
      </c>
      <c r="D427" s="17" t="inlineStr">
        <is>
          <t>SpeedX</t>
        </is>
      </c>
      <c r="E427" s="17" t="inlineStr">
        <is>
          <t>Console</t>
        </is>
      </c>
      <c r="F427" s="17" t="inlineStr">
        <is>
          <t>South</t>
        </is>
      </c>
      <c r="G427" s="18" t="n">
        <v>45795</v>
      </c>
      <c r="H427" s="17" t="n">
        <v>51</v>
      </c>
      <c r="I427" s="17" t="n">
        <v>0</v>
      </c>
      <c r="J427" s="17" t="inlineStr">
        <is>
          <t>No Purchase</t>
        </is>
      </c>
      <c r="K427" s="17" t="inlineStr">
        <is>
          <t>Completed</t>
        </is>
      </c>
      <c r="L427" s="17" t="inlineStr">
        <is>
          <t>Free</t>
        </is>
      </c>
      <c r="M427" s="17" t="n">
        <v>9</v>
      </c>
      <c r="N427" s="17" t="inlineStr">
        <is>
          <t>No</t>
        </is>
      </c>
      <c r="O427" s="17">
        <f>TEXT(G427,"yyyy-mm")</f>
        <v/>
      </c>
      <c r="P427" s="17">
        <f>IF(H427&lt;20,"Low",IF(H427&lt;=60,"Medium","High"))</f>
        <v/>
      </c>
      <c r="Q427" s="17">
        <f>IF(I427&gt;0,"Yes","No")</f>
        <v/>
      </c>
      <c r="R427" s="17">
        <f>IF(N427="Yes",1,0)</f>
        <v/>
      </c>
      <c r="S427" s="17">
        <f>IF(N427=IF(OR(H427&gt;150,I427&gt;40),"Yes","No"),"Match","Mismatch")</f>
        <v/>
      </c>
    </row>
    <row r="428">
      <c r="A428" s="17" t="inlineStr">
        <is>
          <t>S00414</t>
        </is>
      </c>
      <c r="B428" s="17" t="inlineStr">
        <is>
          <t>P4285</t>
        </is>
      </c>
      <c r="C428" s="17" t="inlineStr">
        <is>
          <t>annettejackson</t>
        </is>
      </c>
      <c r="D428" s="17" t="inlineStr">
        <is>
          <t>Zombie Rush</t>
        </is>
      </c>
      <c r="E428" s="17" t="inlineStr">
        <is>
          <t>Mobile</t>
        </is>
      </c>
      <c r="F428" s="17" t="inlineStr">
        <is>
          <t>Central</t>
        </is>
      </c>
      <c r="G428" s="18" t="n">
        <v>45796</v>
      </c>
      <c r="H428" s="17" t="n">
        <v>58</v>
      </c>
      <c r="I428" s="17" t="n">
        <v>0</v>
      </c>
      <c r="J428" s="17" t="inlineStr">
        <is>
          <t>No Purchase</t>
        </is>
      </c>
      <c r="K428" s="17" t="inlineStr">
        <is>
          <t>Completed</t>
        </is>
      </c>
      <c r="L428" s="17" t="inlineStr">
        <is>
          <t>Free</t>
        </is>
      </c>
      <c r="M428" s="17" t="n">
        <v>43</v>
      </c>
      <c r="N428" s="17" t="inlineStr">
        <is>
          <t>No</t>
        </is>
      </c>
      <c r="O428" s="17">
        <f>TEXT(G428,"yyyy-mm")</f>
        <v/>
      </c>
      <c r="P428" s="17">
        <f>IF(H428&lt;20,"Low",IF(H428&lt;=60,"Medium","High"))</f>
        <v/>
      </c>
      <c r="Q428" s="17">
        <f>IF(I428&gt;0,"Yes","No")</f>
        <v/>
      </c>
      <c r="R428" s="17">
        <f>IF(N428="Yes",1,0)</f>
        <v/>
      </c>
      <c r="S428" s="17">
        <f>IF(N428=IF(OR(H428&gt;150,I428&gt;40),"Yes","No"),"Match","Mismatch")</f>
        <v/>
      </c>
    </row>
    <row r="429">
      <c r="A429" s="17" t="inlineStr">
        <is>
          <t>S00034</t>
        </is>
      </c>
      <c r="B429" s="17" t="inlineStr">
        <is>
          <t>P6724</t>
        </is>
      </c>
      <c r="C429" s="17" t="inlineStr">
        <is>
          <t>tylermiller</t>
        </is>
      </c>
      <c r="D429" s="17" t="inlineStr">
        <is>
          <t>SpeedX</t>
        </is>
      </c>
      <c r="E429" s="17" t="inlineStr">
        <is>
          <t>PC</t>
        </is>
      </c>
      <c r="F429" s="17" t="inlineStr">
        <is>
          <t>South</t>
        </is>
      </c>
      <c r="G429" s="18" t="n">
        <v>45797</v>
      </c>
      <c r="H429" s="17" t="n">
        <v>25</v>
      </c>
      <c r="I429" s="17" t="n">
        <v>0</v>
      </c>
      <c r="J429" s="17" t="inlineStr">
        <is>
          <t>No Purchase</t>
        </is>
      </c>
      <c r="K429" s="17" t="inlineStr">
        <is>
          <t>Crashed</t>
        </is>
      </c>
      <c r="L429" s="17" t="inlineStr">
        <is>
          <t>Free</t>
        </is>
      </c>
      <c r="M429" s="17" t="n">
        <v>26</v>
      </c>
      <c r="N429" s="17" t="inlineStr">
        <is>
          <t>No</t>
        </is>
      </c>
      <c r="O429" s="17">
        <f>TEXT(G429,"yyyy-mm")</f>
        <v/>
      </c>
      <c r="P429" s="17">
        <f>IF(H429&lt;20,"Low",IF(H429&lt;=60,"Medium","High"))</f>
        <v/>
      </c>
      <c r="Q429" s="17">
        <f>IF(I429&gt;0,"Yes","No")</f>
        <v/>
      </c>
      <c r="R429" s="17">
        <f>IF(N429="Yes",1,0)</f>
        <v/>
      </c>
      <c r="S429" s="17">
        <f>IF(N429=IF(OR(H429&gt;150,I429&gt;40),"Yes","No"),"Match","Mismatch")</f>
        <v/>
      </c>
    </row>
    <row r="430">
      <c r="A430" s="17" t="inlineStr">
        <is>
          <t>S00292</t>
        </is>
      </c>
      <c r="B430" s="17" t="inlineStr">
        <is>
          <t>P2113</t>
        </is>
      </c>
      <c r="C430" s="17" t="inlineStr">
        <is>
          <t>cassandrarice</t>
        </is>
      </c>
      <c r="D430" s="17" t="inlineStr">
        <is>
          <t>Zombie Rush</t>
        </is>
      </c>
      <c r="E430" s="17" t="inlineStr">
        <is>
          <t>Console</t>
        </is>
      </c>
      <c r="F430" s="17" t="inlineStr">
        <is>
          <t>North</t>
        </is>
      </c>
      <c r="G430" s="18" t="n">
        <v>45797</v>
      </c>
      <c r="H430" s="17" t="n">
        <v>164</v>
      </c>
      <c r="I430" s="17" t="n">
        <v>14.33</v>
      </c>
      <c r="J430" s="17" t="inlineStr">
        <is>
          <t>Skins</t>
        </is>
      </c>
      <c r="K430" s="17" t="inlineStr">
        <is>
          <t>Completed</t>
        </is>
      </c>
      <c r="L430" s="17" t="inlineStr">
        <is>
          <t>Paid</t>
        </is>
      </c>
      <c r="M430" s="17" t="n">
        <v>4</v>
      </c>
      <c r="N430" s="17" t="inlineStr">
        <is>
          <t>Yes</t>
        </is>
      </c>
      <c r="O430" s="17">
        <f>TEXT(G430,"yyyy-mm")</f>
        <v/>
      </c>
      <c r="P430" s="17">
        <f>IF(H430&lt;20,"Low",IF(H430&lt;=60,"Medium","High"))</f>
        <v/>
      </c>
      <c r="Q430" s="17">
        <f>IF(I430&gt;0,"Yes","No")</f>
        <v/>
      </c>
      <c r="R430" s="17">
        <f>IF(N430="Yes",1,0)</f>
        <v/>
      </c>
      <c r="S430" s="17">
        <f>IF(N430=IF(OR(H430&gt;150,I430&gt;40),"Yes","No"),"Match","Mismatch")</f>
        <v/>
      </c>
    </row>
    <row r="431">
      <c r="A431" s="17" t="inlineStr">
        <is>
          <t>S00190</t>
        </is>
      </c>
      <c r="B431" s="17" t="inlineStr">
        <is>
          <t>P5227</t>
        </is>
      </c>
      <c r="C431" s="17" t="inlineStr">
        <is>
          <t>snguyen</t>
        </is>
      </c>
      <c r="D431" s="17" t="inlineStr">
        <is>
          <t>BattleZone</t>
        </is>
      </c>
      <c r="E431" s="17" t="inlineStr">
        <is>
          <t>Console</t>
        </is>
      </c>
      <c r="F431" s="17" t="inlineStr">
        <is>
          <t>West</t>
        </is>
      </c>
      <c r="G431" s="18" t="n">
        <v>45797</v>
      </c>
      <c r="H431" s="17" t="n">
        <v>153</v>
      </c>
      <c r="I431" s="17" t="n">
        <v>0</v>
      </c>
      <c r="J431" s="17" t="inlineStr">
        <is>
          <t>No Purchase</t>
        </is>
      </c>
      <c r="K431" s="17" t="inlineStr">
        <is>
          <t>Completed</t>
        </is>
      </c>
      <c r="L431" s="17" t="inlineStr">
        <is>
          <t>Free</t>
        </is>
      </c>
      <c r="M431" s="17" t="n">
        <v>1</v>
      </c>
      <c r="N431" s="17" t="inlineStr">
        <is>
          <t>Yes</t>
        </is>
      </c>
      <c r="O431" s="17">
        <f>TEXT(G431,"yyyy-mm")</f>
        <v/>
      </c>
      <c r="P431" s="17">
        <f>IF(H431&lt;20,"Low",IF(H431&lt;=60,"Medium","High"))</f>
        <v/>
      </c>
      <c r="Q431" s="17">
        <f>IF(I431&gt;0,"Yes","No")</f>
        <v/>
      </c>
      <c r="R431" s="17">
        <f>IF(N431="Yes",1,0)</f>
        <v/>
      </c>
      <c r="S431" s="17">
        <f>IF(N431=IF(OR(H431&gt;150,I431&gt;40),"Yes","No"),"Match","Mismatch")</f>
        <v/>
      </c>
    </row>
    <row r="432">
      <c r="A432" s="17" t="inlineStr">
        <is>
          <t>S00491</t>
        </is>
      </c>
      <c r="B432" s="17" t="inlineStr">
        <is>
          <t>P8692</t>
        </is>
      </c>
      <c r="C432" s="17" t="inlineStr">
        <is>
          <t>millerdonald</t>
        </is>
      </c>
      <c r="D432" s="17" t="inlineStr">
        <is>
          <t>Clash of Realms</t>
        </is>
      </c>
      <c r="E432" s="17" t="inlineStr">
        <is>
          <t>PC</t>
        </is>
      </c>
      <c r="F432" s="17" t="inlineStr">
        <is>
          <t>South</t>
        </is>
      </c>
      <c r="G432" s="18" t="n">
        <v>45797</v>
      </c>
      <c r="H432" s="17" t="n">
        <v>179</v>
      </c>
      <c r="I432" s="17" t="n">
        <v>0</v>
      </c>
      <c r="J432" s="17" t="inlineStr">
        <is>
          <t>No Purchase</t>
        </is>
      </c>
      <c r="K432" s="17" t="inlineStr">
        <is>
          <t>Completed</t>
        </is>
      </c>
      <c r="L432" s="17" t="inlineStr">
        <is>
          <t>Free</t>
        </is>
      </c>
      <c r="M432" s="17" t="n">
        <v>10</v>
      </c>
      <c r="N432" s="17" t="inlineStr">
        <is>
          <t>Yes</t>
        </is>
      </c>
      <c r="O432" s="17">
        <f>TEXT(G432,"yyyy-mm")</f>
        <v/>
      </c>
      <c r="P432" s="17">
        <f>IF(H432&lt;20,"Low",IF(H432&lt;=60,"Medium","High"))</f>
        <v/>
      </c>
      <c r="Q432" s="17">
        <f>IF(I432&gt;0,"Yes","No")</f>
        <v/>
      </c>
      <c r="R432" s="17">
        <f>IF(N432="Yes",1,0)</f>
        <v/>
      </c>
      <c r="S432" s="17">
        <f>IF(N432=IF(OR(H432&gt;150,I432&gt;40),"Yes","No"),"Match","Mismatch")</f>
        <v/>
      </c>
    </row>
    <row r="433">
      <c r="A433" s="17" t="inlineStr">
        <is>
          <t>S00438</t>
        </is>
      </c>
      <c r="B433" s="17" t="inlineStr">
        <is>
          <t>P1604</t>
        </is>
      </c>
      <c r="C433" s="17" t="inlineStr">
        <is>
          <t>pweaver</t>
        </is>
      </c>
      <c r="D433" s="17" t="inlineStr">
        <is>
          <t>Clash of Realms</t>
        </is>
      </c>
      <c r="E433" s="17" t="inlineStr">
        <is>
          <t>Console</t>
        </is>
      </c>
      <c r="F433" s="17" t="inlineStr">
        <is>
          <t>North-East</t>
        </is>
      </c>
      <c r="G433" s="18" t="n">
        <v>45797</v>
      </c>
      <c r="H433" s="17" t="n">
        <v>147</v>
      </c>
      <c r="I433" s="17" t="n">
        <v>32.05</v>
      </c>
      <c r="J433" s="17" t="inlineStr">
        <is>
          <t>Subscriptions</t>
        </is>
      </c>
      <c r="K433" s="17" t="inlineStr">
        <is>
          <t>Incomplete</t>
        </is>
      </c>
      <c r="L433" s="17" t="inlineStr">
        <is>
          <t>Paid</t>
        </is>
      </c>
      <c r="M433" s="17" t="n">
        <v>11</v>
      </c>
      <c r="N433" s="17" t="inlineStr">
        <is>
          <t>No</t>
        </is>
      </c>
      <c r="O433" s="17">
        <f>TEXT(G433,"yyyy-mm")</f>
        <v/>
      </c>
      <c r="P433" s="17">
        <f>IF(H433&lt;20,"Low",IF(H433&lt;=60,"Medium","High"))</f>
        <v/>
      </c>
      <c r="Q433" s="17">
        <f>IF(I433&gt;0,"Yes","No")</f>
        <v/>
      </c>
      <c r="R433" s="17">
        <f>IF(N433="Yes",1,0)</f>
        <v/>
      </c>
      <c r="S433" s="17">
        <f>IF(N433=IF(OR(H433&gt;150,I433&gt;40),"Yes","No"),"Match","Mismatch")</f>
        <v/>
      </c>
    </row>
    <row r="434">
      <c r="A434" s="17" t="inlineStr">
        <is>
          <t>S00110</t>
        </is>
      </c>
      <c r="B434" s="17" t="inlineStr">
        <is>
          <t>P9730</t>
        </is>
      </c>
      <c r="C434" s="17" t="inlineStr">
        <is>
          <t>jennifer33</t>
        </is>
      </c>
      <c r="D434" s="17" t="inlineStr">
        <is>
          <t>BattleZone</t>
        </is>
      </c>
      <c r="E434" s="17" t="inlineStr">
        <is>
          <t>PC</t>
        </is>
      </c>
      <c r="F434" s="17" t="inlineStr">
        <is>
          <t>North</t>
        </is>
      </c>
      <c r="G434" s="18" t="n">
        <v>45798</v>
      </c>
      <c r="H434" s="17" t="n">
        <v>164</v>
      </c>
      <c r="I434" s="17" t="n">
        <v>0</v>
      </c>
      <c r="J434" s="17" t="inlineStr">
        <is>
          <t>No Purchase</t>
        </is>
      </c>
      <c r="K434" s="17" t="inlineStr">
        <is>
          <t>Crashed</t>
        </is>
      </c>
      <c r="L434" s="17" t="inlineStr">
        <is>
          <t>Paid</t>
        </is>
      </c>
      <c r="M434" s="17" t="n">
        <v>39</v>
      </c>
      <c r="N434" s="17" t="inlineStr">
        <is>
          <t>Yes</t>
        </is>
      </c>
      <c r="O434" s="17">
        <f>TEXT(G434,"yyyy-mm")</f>
        <v/>
      </c>
      <c r="P434" s="17">
        <f>IF(H434&lt;20,"Low",IF(H434&lt;=60,"Medium","High"))</f>
        <v/>
      </c>
      <c r="Q434" s="17">
        <f>IF(I434&gt;0,"Yes","No")</f>
        <v/>
      </c>
      <c r="R434" s="17">
        <f>IF(N434="Yes",1,0)</f>
        <v/>
      </c>
      <c r="S434" s="17">
        <f>IF(N434=IF(OR(H434&gt;150,I434&gt;40),"Yes","No"),"Match","Mismatch")</f>
        <v/>
      </c>
    </row>
    <row r="435">
      <c r="A435" s="17" t="inlineStr">
        <is>
          <t>S00356</t>
        </is>
      </c>
      <c r="B435" s="17" t="inlineStr">
        <is>
          <t>P9101</t>
        </is>
      </c>
      <c r="C435" s="17" t="inlineStr">
        <is>
          <t>hardychristopher</t>
        </is>
      </c>
      <c r="D435" s="17" t="inlineStr">
        <is>
          <t>BattleZone</t>
        </is>
      </c>
      <c r="E435" s="17" t="inlineStr">
        <is>
          <t>Mobile</t>
        </is>
      </c>
      <c r="F435" s="17" t="inlineStr">
        <is>
          <t>Central</t>
        </is>
      </c>
      <c r="G435" s="18" t="n">
        <v>45798</v>
      </c>
      <c r="H435" s="17" t="n">
        <v>104</v>
      </c>
      <c r="I435" s="17" t="n">
        <v>0</v>
      </c>
      <c r="J435" s="17" t="inlineStr">
        <is>
          <t>No Purchase</t>
        </is>
      </c>
      <c r="K435" s="17" t="inlineStr">
        <is>
          <t>Completed</t>
        </is>
      </c>
      <c r="L435" s="17" t="inlineStr">
        <is>
          <t>Free</t>
        </is>
      </c>
      <c r="M435" s="17" t="n">
        <v>14</v>
      </c>
      <c r="N435" s="17" t="inlineStr">
        <is>
          <t>No</t>
        </is>
      </c>
      <c r="O435" s="17">
        <f>TEXT(G435,"yyyy-mm")</f>
        <v/>
      </c>
      <c r="P435" s="17">
        <f>IF(H435&lt;20,"Low",IF(H435&lt;=60,"Medium","High"))</f>
        <v/>
      </c>
      <c r="Q435" s="17">
        <f>IF(I435&gt;0,"Yes","No")</f>
        <v/>
      </c>
      <c r="R435" s="17">
        <f>IF(N435="Yes",1,0)</f>
        <v/>
      </c>
      <c r="S435" s="17">
        <f>IF(N435=IF(OR(H435&gt;150,I435&gt;40),"Yes","No"),"Match","Mismatch")</f>
        <v/>
      </c>
    </row>
    <row r="436">
      <c r="A436" s="17" t="inlineStr">
        <is>
          <t>S00404</t>
        </is>
      </c>
      <c r="B436" s="17" t="inlineStr">
        <is>
          <t>P4516</t>
        </is>
      </c>
      <c r="C436" s="17" t="inlineStr">
        <is>
          <t>sellersgregory</t>
        </is>
      </c>
      <c r="D436" s="17" t="inlineStr">
        <is>
          <t>SpeedX</t>
        </is>
      </c>
      <c r="E436" s="17" t="inlineStr">
        <is>
          <t>Console</t>
        </is>
      </c>
      <c r="F436" s="17" t="inlineStr">
        <is>
          <t>North-East</t>
        </is>
      </c>
      <c r="G436" s="18" t="n">
        <v>45798</v>
      </c>
      <c r="H436" s="17" t="n">
        <v>9</v>
      </c>
      <c r="I436" s="17" t="n">
        <v>0</v>
      </c>
      <c r="J436" s="17" t="inlineStr">
        <is>
          <t>No Purchase</t>
        </is>
      </c>
      <c r="K436" s="17" t="inlineStr">
        <is>
          <t>Exited Early</t>
        </is>
      </c>
      <c r="L436" s="17" t="inlineStr">
        <is>
          <t>Free</t>
        </is>
      </c>
      <c r="M436" s="17" t="n">
        <v>40</v>
      </c>
      <c r="N436" s="17" t="inlineStr">
        <is>
          <t>No</t>
        </is>
      </c>
      <c r="O436" s="17">
        <f>TEXT(G436,"yyyy-mm")</f>
        <v/>
      </c>
      <c r="P436" s="17">
        <f>IF(H436&lt;20,"Low",IF(H436&lt;=60,"Medium","High"))</f>
        <v/>
      </c>
      <c r="Q436" s="17">
        <f>IF(I436&gt;0,"Yes","No")</f>
        <v/>
      </c>
      <c r="R436" s="17">
        <f>IF(N436="Yes",1,0)</f>
        <v/>
      </c>
      <c r="S436" s="17">
        <f>IF(N436=IF(OR(H436&gt;150,I436&gt;40),"Yes","No"),"Match","Mismatch")</f>
        <v/>
      </c>
    </row>
    <row r="437">
      <c r="A437" s="17" t="inlineStr">
        <is>
          <t>S00005</t>
        </is>
      </c>
      <c r="B437" s="17" t="inlineStr">
        <is>
          <t>P7925</t>
        </is>
      </c>
      <c r="C437" s="17" t="inlineStr">
        <is>
          <t>ballarddouglas</t>
        </is>
      </c>
      <c r="D437" s="17" t="inlineStr">
        <is>
          <t>Zombie Rush</t>
        </is>
      </c>
      <c r="E437" s="17" t="inlineStr">
        <is>
          <t>Mobile</t>
        </is>
      </c>
      <c r="F437" s="17" t="inlineStr">
        <is>
          <t>North</t>
        </is>
      </c>
      <c r="G437" s="18" t="n">
        <v>45798</v>
      </c>
      <c r="H437" s="17" t="n">
        <v>109</v>
      </c>
      <c r="I437" s="17" t="n">
        <v>5.48</v>
      </c>
      <c r="J437" s="17" t="inlineStr">
        <is>
          <t>Boosters</t>
        </is>
      </c>
      <c r="K437" s="17" t="inlineStr">
        <is>
          <t>Crashed</t>
        </is>
      </c>
      <c r="L437" s="17" t="inlineStr">
        <is>
          <t>Paid</t>
        </is>
      </c>
      <c r="M437" s="17" t="n">
        <v>5</v>
      </c>
      <c r="N437" s="17" t="inlineStr">
        <is>
          <t>No</t>
        </is>
      </c>
      <c r="O437" s="17">
        <f>TEXT(G437,"yyyy-mm")</f>
        <v/>
      </c>
      <c r="P437" s="17">
        <f>IF(H437&lt;20,"Low",IF(H437&lt;=60,"Medium","High"))</f>
        <v/>
      </c>
      <c r="Q437" s="17">
        <f>IF(I437&gt;0,"Yes","No")</f>
        <v/>
      </c>
      <c r="R437" s="17">
        <f>IF(N437="Yes",1,0)</f>
        <v/>
      </c>
      <c r="S437" s="17">
        <f>IF(N437=IF(OR(H437&gt;150,I437&gt;40),"Yes","No"),"Match","Mismatch")</f>
        <v/>
      </c>
    </row>
    <row r="438">
      <c r="A438" s="17" t="inlineStr">
        <is>
          <t>S00330</t>
        </is>
      </c>
      <c r="B438" s="17" t="inlineStr">
        <is>
          <t>P6447</t>
        </is>
      </c>
      <c r="C438" s="17" t="inlineStr">
        <is>
          <t>jessica34</t>
        </is>
      </c>
      <c r="D438" s="17" t="inlineStr">
        <is>
          <t>BattleZone</t>
        </is>
      </c>
      <c r="E438" s="17" t="inlineStr">
        <is>
          <t>Console</t>
        </is>
      </c>
      <c r="F438" s="17" t="inlineStr">
        <is>
          <t>Central</t>
        </is>
      </c>
      <c r="G438" s="18" t="n">
        <v>45799</v>
      </c>
      <c r="H438" s="17" t="n">
        <v>100</v>
      </c>
      <c r="I438" s="17" t="n">
        <v>0</v>
      </c>
      <c r="J438" s="17" t="inlineStr">
        <is>
          <t>No Purchase</t>
        </is>
      </c>
      <c r="K438" s="17" t="inlineStr">
        <is>
          <t>Completed</t>
        </is>
      </c>
      <c r="L438" s="17" t="inlineStr">
        <is>
          <t>Free</t>
        </is>
      </c>
      <c r="M438" s="17" t="n">
        <v>25</v>
      </c>
      <c r="N438" s="17" t="inlineStr">
        <is>
          <t>No</t>
        </is>
      </c>
      <c r="O438" s="17">
        <f>TEXT(G438,"yyyy-mm")</f>
        <v/>
      </c>
      <c r="P438" s="17">
        <f>IF(H438&lt;20,"Low",IF(H438&lt;=60,"Medium","High"))</f>
        <v/>
      </c>
      <c r="Q438" s="17">
        <f>IF(I438&gt;0,"Yes","No")</f>
        <v/>
      </c>
      <c r="R438" s="17">
        <f>IF(N438="Yes",1,0)</f>
        <v/>
      </c>
      <c r="S438" s="17">
        <f>IF(N438=IF(OR(H438&gt;150,I438&gt;40),"Yes","No"),"Match","Mismatch")</f>
        <v/>
      </c>
    </row>
    <row r="439">
      <c r="A439" s="17" t="inlineStr">
        <is>
          <t>S00105</t>
        </is>
      </c>
      <c r="B439" s="17" t="inlineStr">
        <is>
          <t>P2590</t>
        </is>
      </c>
      <c r="C439" s="17" t="inlineStr">
        <is>
          <t>chrisperkins</t>
        </is>
      </c>
      <c r="D439" s="17" t="inlineStr">
        <is>
          <t>Clash of Realms</t>
        </is>
      </c>
      <c r="E439" s="17" t="inlineStr">
        <is>
          <t>Console</t>
        </is>
      </c>
      <c r="F439" s="17" t="inlineStr">
        <is>
          <t>Central</t>
        </is>
      </c>
      <c r="G439" s="18" t="n">
        <v>45799</v>
      </c>
      <c r="H439" s="17" t="n">
        <v>64</v>
      </c>
      <c r="I439" s="17" t="n">
        <v>0</v>
      </c>
      <c r="J439" s="17" t="inlineStr">
        <is>
          <t>No Purchase</t>
        </is>
      </c>
      <c r="K439" s="17" t="inlineStr">
        <is>
          <t>Completed</t>
        </is>
      </c>
      <c r="L439" s="17" t="inlineStr">
        <is>
          <t>Free</t>
        </is>
      </c>
      <c r="M439" s="17" t="n">
        <v>50</v>
      </c>
      <c r="N439" s="17" t="inlineStr">
        <is>
          <t>No</t>
        </is>
      </c>
      <c r="O439" s="17">
        <f>TEXT(G439,"yyyy-mm")</f>
        <v/>
      </c>
      <c r="P439" s="17">
        <f>IF(H439&lt;20,"Low",IF(H439&lt;=60,"Medium","High"))</f>
        <v/>
      </c>
      <c r="Q439" s="17">
        <f>IF(I439&gt;0,"Yes","No")</f>
        <v/>
      </c>
      <c r="R439" s="17">
        <f>IF(N439="Yes",1,0)</f>
        <v/>
      </c>
      <c r="S439" s="17">
        <f>IF(N439=IF(OR(H439&gt;150,I439&gt;40),"Yes","No"),"Match","Mismatch")</f>
        <v/>
      </c>
    </row>
    <row r="440">
      <c r="A440" s="17" t="inlineStr">
        <is>
          <t>S00468</t>
        </is>
      </c>
      <c r="B440" s="17" t="inlineStr">
        <is>
          <t>P9747</t>
        </is>
      </c>
      <c r="C440" s="17" t="inlineStr">
        <is>
          <t>charles59</t>
        </is>
      </c>
      <c r="D440" s="17" t="inlineStr">
        <is>
          <t>Empire Wars</t>
        </is>
      </c>
      <c r="E440" s="17" t="inlineStr">
        <is>
          <t>Mobile</t>
        </is>
      </c>
      <c r="F440" s="17" t="inlineStr">
        <is>
          <t>West</t>
        </is>
      </c>
      <c r="G440" s="18" t="n">
        <v>45799</v>
      </c>
      <c r="H440" s="17" t="n">
        <v>164</v>
      </c>
      <c r="I440" s="17" t="n">
        <v>0</v>
      </c>
      <c r="J440" s="17" t="inlineStr">
        <is>
          <t>No Purchase</t>
        </is>
      </c>
      <c r="K440" s="17" t="inlineStr">
        <is>
          <t>Incomplete</t>
        </is>
      </c>
      <c r="L440" s="17" t="inlineStr">
        <is>
          <t>Free</t>
        </is>
      </c>
      <c r="M440" s="17" t="n">
        <v>40</v>
      </c>
      <c r="N440" s="17" t="inlineStr">
        <is>
          <t>Yes</t>
        </is>
      </c>
      <c r="O440" s="17">
        <f>TEXT(G440,"yyyy-mm")</f>
        <v/>
      </c>
      <c r="P440" s="17">
        <f>IF(H440&lt;20,"Low",IF(H440&lt;=60,"Medium","High"))</f>
        <v/>
      </c>
      <c r="Q440" s="17">
        <f>IF(I440&gt;0,"Yes","No")</f>
        <v/>
      </c>
      <c r="R440" s="17">
        <f>IF(N440="Yes",1,0)</f>
        <v/>
      </c>
      <c r="S440" s="17">
        <f>IF(N440=IF(OR(H440&gt;150,I440&gt;40),"Yes","No"),"Match","Mismatch")</f>
        <v/>
      </c>
    </row>
    <row r="441">
      <c r="A441" s="17" t="inlineStr">
        <is>
          <t>S00181</t>
        </is>
      </c>
      <c r="B441" s="17" t="inlineStr">
        <is>
          <t>P2490</t>
        </is>
      </c>
      <c r="C441" s="17" t="inlineStr">
        <is>
          <t>bakerjohn</t>
        </is>
      </c>
      <c r="D441" s="17" t="inlineStr">
        <is>
          <t>Empire Wars</t>
        </is>
      </c>
      <c r="E441" s="17" t="inlineStr">
        <is>
          <t>PC</t>
        </is>
      </c>
      <c r="F441" s="17" t="inlineStr">
        <is>
          <t>North</t>
        </is>
      </c>
      <c r="G441" s="18" t="n">
        <v>45799</v>
      </c>
      <c r="H441" s="17" t="n">
        <v>61</v>
      </c>
      <c r="I441" s="17" t="n">
        <v>23.71</v>
      </c>
      <c r="J441" s="17" t="inlineStr">
        <is>
          <t>Battle Pass</t>
        </is>
      </c>
      <c r="K441" s="17" t="inlineStr">
        <is>
          <t>Completed</t>
        </is>
      </c>
      <c r="L441" s="17" t="inlineStr">
        <is>
          <t>Paid</t>
        </is>
      </c>
      <c r="M441" s="17" t="n">
        <v>37</v>
      </c>
      <c r="N441" s="17" t="inlineStr">
        <is>
          <t>No</t>
        </is>
      </c>
      <c r="O441" s="17">
        <f>TEXT(G441,"yyyy-mm")</f>
        <v/>
      </c>
      <c r="P441" s="17">
        <f>IF(H441&lt;20,"Low",IF(H441&lt;=60,"Medium","High"))</f>
        <v/>
      </c>
      <c r="Q441" s="17">
        <f>IF(I441&gt;0,"Yes","No")</f>
        <v/>
      </c>
      <c r="R441" s="17">
        <f>IF(N441="Yes",1,0)</f>
        <v/>
      </c>
      <c r="S441" s="17">
        <f>IF(N441=IF(OR(H441&gt;150,I441&gt;40),"Yes","No"),"Match","Mismatch")</f>
        <v/>
      </c>
    </row>
    <row r="442">
      <c r="A442" s="17" t="inlineStr">
        <is>
          <t>S00189</t>
        </is>
      </c>
      <c r="B442" s="17" t="inlineStr">
        <is>
          <t>P4279</t>
        </is>
      </c>
      <c r="C442" s="17" t="inlineStr">
        <is>
          <t>otaylor</t>
        </is>
      </c>
      <c r="D442" s="17" t="inlineStr">
        <is>
          <t>Clash of Realms</t>
        </is>
      </c>
      <c r="E442" s="17" t="inlineStr">
        <is>
          <t>Console</t>
        </is>
      </c>
      <c r="F442" s="17" t="inlineStr">
        <is>
          <t>Central</t>
        </is>
      </c>
      <c r="G442" s="18" t="n">
        <v>45800</v>
      </c>
      <c r="H442" s="17" t="n">
        <v>57</v>
      </c>
      <c r="I442" s="17" t="n">
        <v>0</v>
      </c>
      <c r="J442" s="17" t="inlineStr">
        <is>
          <t>No Purchase</t>
        </is>
      </c>
      <c r="K442" s="17" t="inlineStr">
        <is>
          <t>Completed</t>
        </is>
      </c>
      <c r="L442" s="17" t="inlineStr">
        <is>
          <t>Free</t>
        </is>
      </c>
      <c r="M442" s="17" t="n">
        <v>18</v>
      </c>
      <c r="N442" s="17" t="inlineStr">
        <is>
          <t>No</t>
        </is>
      </c>
      <c r="O442" s="17">
        <f>TEXT(G442,"yyyy-mm")</f>
        <v/>
      </c>
      <c r="P442" s="17">
        <f>IF(H442&lt;20,"Low",IF(H442&lt;=60,"Medium","High"))</f>
        <v/>
      </c>
      <c r="Q442" s="17">
        <f>IF(I442&gt;0,"Yes","No")</f>
        <v/>
      </c>
      <c r="R442" s="17">
        <f>IF(N442="Yes",1,0)</f>
        <v/>
      </c>
      <c r="S442" s="17">
        <f>IF(N442=IF(OR(H442&gt;150,I442&gt;40),"Yes","No"),"Match","Mismatch")</f>
        <v/>
      </c>
    </row>
    <row r="443">
      <c r="A443" s="17" t="inlineStr">
        <is>
          <t>S00479</t>
        </is>
      </c>
      <c r="B443" s="17" t="inlineStr">
        <is>
          <t>P5699</t>
        </is>
      </c>
      <c r="C443" s="17" t="inlineStr">
        <is>
          <t>cathy10</t>
        </is>
      </c>
      <c r="D443" s="17" t="inlineStr">
        <is>
          <t>SpeedX</t>
        </is>
      </c>
      <c r="E443" s="17" t="inlineStr">
        <is>
          <t>Console</t>
        </is>
      </c>
      <c r="F443" s="17" t="inlineStr">
        <is>
          <t>Central</t>
        </is>
      </c>
      <c r="G443" s="18" t="n">
        <v>45800</v>
      </c>
      <c r="H443" s="17" t="n">
        <v>103</v>
      </c>
      <c r="I443" s="17" t="n">
        <v>0</v>
      </c>
      <c r="J443" s="17" t="inlineStr">
        <is>
          <t>No Purchase</t>
        </is>
      </c>
      <c r="K443" s="17" t="inlineStr">
        <is>
          <t>Completed</t>
        </is>
      </c>
      <c r="L443" s="17" t="inlineStr">
        <is>
          <t>Free</t>
        </is>
      </c>
      <c r="M443" s="17" t="n">
        <v>11</v>
      </c>
      <c r="N443" s="17" t="inlineStr">
        <is>
          <t>No</t>
        </is>
      </c>
      <c r="O443" s="17">
        <f>TEXT(G443,"yyyy-mm")</f>
        <v/>
      </c>
      <c r="P443" s="17">
        <f>IF(H443&lt;20,"Low",IF(H443&lt;=60,"Medium","High"))</f>
        <v/>
      </c>
      <c r="Q443" s="17">
        <f>IF(I443&gt;0,"Yes","No")</f>
        <v/>
      </c>
      <c r="R443" s="17">
        <f>IF(N443="Yes",1,0)</f>
        <v/>
      </c>
      <c r="S443" s="17">
        <f>IF(N443=IF(OR(H443&gt;150,I443&gt;40),"Yes","No"),"Match","Mismatch")</f>
        <v/>
      </c>
    </row>
    <row r="444">
      <c r="A444" s="17" t="inlineStr">
        <is>
          <t>S00367</t>
        </is>
      </c>
      <c r="B444" s="17" t="inlineStr">
        <is>
          <t>P7375</t>
        </is>
      </c>
      <c r="C444" s="17" t="inlineStr">
        <is>
          <t>morrisryan</t>
        </is>
      </c>
      <c r="D444" s="17" t="inlineStr">
        <is>
          <t>Clash of Realms</t>
        </is>
      </c>
      <c r="E444" s="17" t="inlineStr">
        <is>
          <t>Mobile</t>
        </is>
      </c>
      <c r="F444" s="17" t="inlineStr">
        <is>
          <t>North-East</t>
        </is>
      </c>
      <c r="G444" s="18" t="n">
        <v>45800</v>
      </c>
      <c r="H444" s="17" t="n">
        <v>6</v>
      </c>
      <c r="I444" s="17" t="n">
        <v>0</v>
      </c>
      <c r="J444" s="17" t="inlineStr">
        <is>
          <t>No Purchase</t>
        </is>
      </c>
      <c r="K444" s="17" t="inlineStr">
        <is>
          <t>Completed</t>
        </is>
      </c>
      <c r="L444" s="17" t="inlineStr">
        <is>
          <t>Free</t>
        </is>
      </c>
      <c r="M444" s="17" t="n">
        <v>12</v>
      </c>
      <c r="N444" s="17" t="inlineStr">
        <is>
          <t>No</t>
        </is>
      </c>
      <c r="O444" s="17">
        <f>TEXT(G444,"yyyy-mm")</f>
        <v/>
      </c>
      <c r="P444" s="17">
        <f>IF(H444&lt;20,"Low",IF(H444&lt;=60,"Medium","High"))</f>
        <v/>
      </c>
      <c r="Q444" s="17">
        <f>IF(I444&gt;0,"Yes","No")</f>
        <v/>
      </c>
      <c r="R444" s="17">
        <f>IF(N444="Yes",1,0)</f>
        <v/>
      </c>
      <c r="S444" s="17">
        <f>IF(N444=IF(OR(H444&gt;150,I444&gt;40),"Yes","No"),"Match","Mismatch")</f>
        <v/>
      </c>
    </row>
    <row r="445">
      <c r="A445" s="17" t="inlineStr">
        <is>
          <t>S00179</t>
        </is>
      </c>
      <c r="B445" s="17" t="inlineStr">
        <is>
          <t>P3013</t>
        </is>
      </c>
      <c r="C445" s="17" t="inlineStr">
        <is>
          <t>smayo</t>
        </is>
      </c>
      <c r="D445" s="17" t="inlineStr">
        <is>
          <t>Empire Wars</t>
        </is>
      </c>
      <c r="E445" s="17" t="inlineStr">
        <is>
          <t>Mobile</t>
        </is>
      </c>
      <c r="F445" s="17" t="inlineStr">
        <is>
          <t>West</t>
        </is>
      </c>
      <c r="G445" s="18" t="n">
        <v>45801</v>
      </c>
      <c r="H445" s="17" t="n">
        <v>84</v>
      </c>
      <c r="I445" s="17" t="n">
        <v>0</v>
      </c>
      <c r="J445" s="17" t="inlineStr">
        <is>
          <t>No Purchase</t>
        </is>
      </c>
      <c r="K445" s="17" t="inlineStr">
        <is>
          <t>Completed</t>
        </is>
      </c>
      <c r="L445" s="17" t="inlineStr">
        <is>
          <t>Free</t>
        </is>
      </c>
      <c r="M445" s="17" t="n">
        <v>36</v>
      </c>
      <c r="N445" s="17" t="inlineStr">
        <is>
          <t>No</t>
        </is>
      </c>
      <c r="O445" s="17">
        <f>TEXT(G445,"yyyy-mm")</f>
        <v/>
      </c>
      <c r="P445" s="17">
        <f>IF(H445&lt;20,"Low",IF(H445&lt;=60,"Medium","High"))</f>
        <v/>
      </c>
      <c r="Q445" s="17">
        <f>IF(I445&gt;0,"Yes","No")</f>
        <v/>
      </c>
      <c r="R445" s="17">
        <f>IF(N445="Yes",1,0)</f>
        <v/>
      </c>
      <c r="S445" s="17">
        <f>IF(N445=IF(OR(H445&gt;150,I445&gt;40),"Yes","No"),"Match","Mismatch")</f>
        <v/>
      </c>
    </row>
    <row r="446">
      <c r="A446" s="17" t="inlineStr">
        <is>
          <t>S00303</t>
        </is>
      </c>
      <c r="B446" s="17" t="inlineStr">
        <is>
          <t>P8482</t>
        </is>
      </c>
      <c r="C446" s="17" t="inlineStr">
        <is>
          <t>hornjoshua</t>
        </is>
      </c>
      <c r="D446" s="17" t="inlineStr">
        <is>
          <t>BattleZone</t>
        </is>
      </c>
      <c r="E446" s="17" t="inlineStr">
        <is>
          <t>PC</t>
        </is>
      </c>
      <c r="F446" s="17" t="inlineStr">
        <is>
          <t>East</t>
        </is>
      </c>
      <c r="G446" s="18" t="n">
        <v>45801</v>
      </c>
      <c r="H446" s="17" t="n">
        <v>155</v>
      </c>
      <c r="I446" s="17" t="n">
        <v>31.24</v>
      </c>
      <c r="J446" s="17" t="inlineStr">
        <is>
          <t>Battle Pass</t>
        </is>
      </c>
      <c r="K446" s="17" t="inlineStr">
        <is>
          <t>Completed</t>
        </is>
      </c>
      <c r="L446" s="17" t="inlineStr">
        <is>
          <t>Paid</t>
        </is>
      </c>
      <c r="M446" s="17" t="n">
        <v>33</v>
      </c>
      <c r="N446" s="17" t="inlineStr">
        <is>
          <t>Yes</t>
        </is>
      </c>
      <c r="O446" s="17">
        <f>TEXT(G446,"yyyy-mm")</f>
        <v/>
      </c>
      <c r="P446" s="17">
        <f>IF(H446&lt;20,"Low",IF(H446&lt;=60,"Medium","High"))</f>
        <v/>
      </c>
      <c r="Q446" s="17">
        <f>IF(I446&gt;0,"Yes","No")</f>
        <v/>
      </c>
      <c r="R446" s="17">
        <f>IF(N446="Yes",1,0)</f>
        <v/>
      </c>
      <c r="S446" s="17">
        <f>IF(N446=IF(OR(H446&gt;150,I446&gt;40),"Yes","No"),"Match","Mismatch")</f>
        <v/>
      </c>
    </row>
    <row r="447">
      <c r="A447" s="17" t="inlineStr">
        <is>
          <t>S00328</t>
        </is>
      </c>
      <c r="B447" s="17" t="inlineStr">
        <is>
          <t>P3118</t>
        </is>
      </c>
      <c r="C447" s="17" t="inlineStr">
        <is>
          <t>jonathan53</t>
        </is>
      </c>
      <c r="D447" s="17" t="inlineStr">
        <is>
          <t>Zombie Rush</t>
        </is>
      </c>
      <c r="E447" s="17" t="inlineStr">
        <is>
          <t>PC</t>
        </is>
      </c>
      <c r="F447" s="17" t="inlineStr">
        <is>
          <t>West</t>
        </is>
      </c>
      <c r="G447" s="18" t="n">
        <v>45801</v>
      </c>
      <c r="H447" s="17" t="n">
        <v>102</v>
      </c>
      <c r="I447" s="17" t="n">
        <v>0</v>
      </c>
      <c r="J447" s="17" t="inlineStr">
        <is>
          <t>No Purchase</t>
        </is>
      </c>
      <c r="K447" s="17" t="inlineStr">
        <is>
          <t>Completed</t>
        </is>
      </c>
      <c r="L447" s="17" t="inlineStr">
        <is>
          <t>Paid</t>
        </is>
      </c>
      <c r="M447" s="17" t="n">
        <v>44</v>
      </c>
      <c r="N447" s="17" t="inlineStr">
        <is>
          <t>No</t>
        </is>
      </c>
      <c r="O447" s="17">
        <f>TEXT(G447,"yyyy-mm")</f>
        <v/>
      </c>
      <c r="P447" s="17">
        <f>IF(H447&lt;20,"Low",IF(H447&lt;=60,"Medium","High"))</f>
        <v/>
      </c>
      <c r="Q447" s="17">
        <f>IF(I447&gt;0,"Yes","No")</f>
        <v/>
      </c>
      <c r="R447" s="17">
        <f>IF(N447="Yes",1,0)</f>
        <v/>
      </c>
      <c r="S447" s="17">
        <f>IF(N447=IF(OR(H447&gt;150,I447&gt;40),"Yes","No"),"Match","Mismatch")</f>
        <v/>
      </c>
    </row>
    <row r="448">
      <c r="A448" s="17" t="inlineStr">
        <is>
          <t>S00406</t>
        </is>
      </c>
      <c r="B448" s="17" t="inlineStr">
        <is>
          <t>P3545</t>
        </is>
      </c>
      <c r="C448" s="17" t="inlineStr">
        <is>
          <t>barnettdonna</t>
        </is>
      </c>
      <c r="D448" s="17" t="inlineStr">
        <is>
          <t>Empire Wars</t>
        </is>
      </c>
      <c r="E448" s="17" t="inlineStr">
        <is>
          <t>PC</t>
        </is>
      </c>
      <c r="F448" s="17" t="inlineStr">
        <is>
          <t>Central</t>
        </is>
      </c>
      <c r="G448" s="18" t="n">
        <v>45801</v>
      </c>
      <c r="H448" s="17" t="n">
        <v>25</v>
      </c>
      <c r="I448" s="17" t="n">
        <v>0</v>
      </c>
      <c r="J448" s="17" t="inlineStr">
        <is>
          <t>No Purchase</t>
        </is>
      </c>
      <c r="K448" s="17" t="inlineStr">
        <is>
          <t>Completed</t>
        </is>
      </c>
      <c r="L448" s="17" t="inlineStr">
        <is>
          <t>Free</t>
        </is>
      </c>
      <c r="M448" s="17" t="n">
        <v>12</v>
      </c>
      <c r="N448" s="17" t="inlineStr">
        <is>
          <t>No</t>
        </is>
      </c>
      <c r="O448" s="17">
        <f>TEXT(G448,"yyyy-mm")</f>
        <v/>
      </c>
      <c r="P448" s="17">
        <f>IF(H448&lt;20,"Low",IF(H448&lt;=60,"Medium","High"))</f>
        <v/>
      </c>
      <c r="Q448" s="17">
        <f>IF(I448&gt;0,"Yes","No")</f>
        <v/>
      </c>
      <c r="R448" s="17">
        <f>IF(N448="Yes",1,0)</f>
        <v/>
      </c>
      <c r="S448" s="17">
        <f>IF(N448=IF(OR(H448&gt;150,I448&gt;40),"Yes","No"),"Match","Mismatch")</f>
        <v/>
      </c>
    </row>
    <row r="449">
      <c r="A449" s="17" t="inlineStr">
        <is>
          <t>S00358</t>
        </is>
      </c>
      <c r="B449" s="17" t="inlineStr">
        <is>
          <t>P1901</t>
        </is>
      </c>
      <c r="C449" s="17" t="inlineStr">
        <is>
          <t>leestewart</t>
        </is>
      </c>
      <c r="D449" s="17" t="inlineStr">
        <is>
          <t>Empire Wars</t>
        </is>
      </c>
      <c r="E449" s="17" t="inlineStr">
        <is>
          <t>PC</t>
        </is>
      </c>
      <c r="F449" s="17" t="inlineStr">
        <is>
          <t>South</t>
        </is>
      </c>
      <c r="G449" s="18" t="n">
        <v>45801</v>
      </c>
      <c r="H449" s="17" t="n">
        <v>71</v>
      </c>
      <c r="I449" s="17" t="n">
        <v>0</v>
      </c>
      <c r="J449" s="17" t="inlineStr">
        <is>
          <t>No Purchase</t>
        </is>
      </c>
      <c r="K449" s="17" t="inlineStr">
        <is>
          <t>Completed</t>
        </is>
      </c>
      <c r="L449" s="17" t="inlineStr">
        <is>
          <t>Paid</t>
        </is>
      </c>
      <c r="M449" s="17" t="n">
        <v>5</v>
      </c>
      <c r="N449" s="17" t="inlineStr">
        <is>
          <t>No</t>
        </is>
      </c>
      <c r="O449" s="17">
        <f>TEXT(G449,"yyyy-mm")</f>
        <v/>
      </c>
      <c r="P449" s="17">
        <f>IF(H449&lt;20,"Low",IF(H449&lt;=60,"Medium","High"))</f>
        <v/>
      </c>
      <c r="Q449" s="17">
        <f>IF(I449&gt;0,"Yes","No")</f>
        <v/>
      </c>
      <c r="R449" s="17">
        <f>IF(N449="Yes",1,0)</f>
        <v/>
      </c>
      <c r="S449" s="17">
        <f>IF(N449=IF(OR(H449&gt;150,I449&gt;40),"Yes","No"),"Match","Mismatch")</f>
        <v/>
      </c>
    </row>
    <row r="450">
      <c r="A450" s="17" t="inlineStr">
        <is>
          <t>S00206</t>
        </is>
      </c>
      <c r="B450" s="17" t="inlineStr">
        <is>
          <t>P3345</t>
        </is>
      </c>
      <c r="C450" s="17" t="inlineStr">
        <is>
          <t>wjohnson</t>
        </is>
      </c>
      <c r="D450" s="17" t="inlineStr">
        <is>
          <t>Empire Wars</t>
        </is>
      </c>
      <c r="E450" s="17" t="inlineStr">
        <is>
          <t>Console</t>
        </is>
      </c>
      <c r="F450" s="17" t="inlineStr">
        <is>
          <t>Central</t>
        </is>
      </c>
      <c r="G450" s="18" t="n">
        <v>45802</v>
      </c>
      <c r="H450" s="17" t="n">
        <v>98</v>
      </c>
      <c r="I450" s="17" t="n">
        <v>0</v>
      </c>
      <c r="J450" s="17" t="inlineStr">
        <is>
          <t>No Purchase</t>
        </is>
      </c>
      <c r="K450" s="17" t="inlineStr">
        <is>
          <t>Completed</t>
        </is>
      </c>
      <c r="L450" s="17" t="inlineStr">
        <is>
          <t>Paid</t>
        </is>
      </c>
      <c r="M450" s="17" t="n">
        <v>30</v>
      </c>
      <c r="N450" s="17" t="inlineStr">
        <is>
          <t>No</t>
        </is>
      </c>
      <c r="O450" s="17">
        <f>TEXT(G450,"yyyy-mm")</f>
        <v/>
      </c>
      <c r="P450" s="17">
        <f>IF(H450&lt;20,"Low",IF(H450&lt;=60,"Medium","High"))</f>
        <v/>
      </c>
      <c r="Q450" s="17">
        <f>IF(I450&gt;0,"Yes","No")</f>
        <v/>
      </c>
      <c r="R450" s="17">
        <f>IF(N450="Yes",1,0)</f>
        <v/>
      </c>
      <c r="S450" s="17">
        <f>IF(N450=IF(OR(H450&gt;150,I450&gt;40),"Yes","No"),"Match","Mismatch")</f>
        <v/>
      </c>
    </row>
    <row r="451">
      <c r="A451" s="17" t="inlineStr">
        <is>
          <t>S00112</t>
        </is>
      </c>
      <c r="B451" s="17" t="inlineStr">
        <is>
          <t>P3011</t>
        </is>
      </c>
      <c r="C451" s="17" t="inlineStr">
        <is>
          <t>keithmaddox</t>
        </is>
      </c>
      <c r="D451" s="17" t="inlineStr">
        <is>
          <t>BattleZone</t>
        </is>
      </c>
      <c r="E451" s="17" t="inlineStr">
        <is>
          <t>Mobile</t>
        </is>
      </c>
      <c r="F451" s="17" t="inlineStr">
        <is>
          <t>Central</t>
        </is>
      </c>
      <c r="G451" s="18" t="n">
        <v>45802</v>
      </c>
      <c r="H451" s="17" t="n">
        <v>172</v>
      </c>
      <c r="I451" s="17" t="n">
        <v>0</v>
      </c>
      <c r="J451" s="17" t="inlineStr">
        <is>
          <t>No Purchase</t>
        </is>
      </c>
      <c r="K451" s="17" t="inlineStr">
        <is>
          <t>Completed</t>
        </is>
      </c>
      <c r="L451" s="17" t="inlineStr">
        <is>
          <t>Free</t>
        </is>
      </c>
      <c r="M451" s="17" t="n">
        <v>50</v>
      </c>
      <c r="N451" s="17" t="inlineStr">
        <is>
          <t>Yes</t>
        </is>
      </c>
      <c r="O451" s="17">
        <f>TEXT(G451,"yyyy-mm")</f>
        <v/>
      </c>
      <c r="P451" s="17">
        <f>IF(H451&lt;20,"Low",IF(H451&lt;=60,"Medium","High"))</f>
        <v/>
      </c>
      <c r="Q451" s="17">
        <f>IF(I451&gt;0,"Yes","No")</f>
        <v/>
      </c>
      <c r="R451" s="17">
        <f>IF(N451="Yes",1,0)</f>
        <v/>
      </c>
      <c r="S451" s="17">
        <f>IF(N451=IF(OR(H451&gt;150,I451&gt;40),"Yes","No"),"Match","Mismatch")</f>
        <v/>
      </c>
    </row>
    <row r="452">
      <c r="A452" s="17" t="inlineStr">
        <is>
          <t>S00243</t>
        </is>
      </c>
      <c r="B452" s="17" t="inlineStr">
        <is>
          <t>P5909</t>
        </is>
      </c>
      <c r="C452" s="17" t="inlineStr">
        <is>
          <t>mercedesyoung</t>
        </is>
      </c>
      <c r="D452" s="17" t="inlineStr">
        <is>
          <t>BattleZone</t>
        </is>
      </c>
      <c r="E452" s="17" t="inlineStr">
        <is>
          <t>Mobile</t>
        </is>
      </c>
      <c r="F452" s="17" t="inlineStr">
        <is>
          <t>North</t>
        </is>
      </c>
      <c r="G452" s="18" t="n">
        <v>45803</v>
      </c>
      <c r="H452" s="17" t="n">
        <v>144</v>
      </c>
      <c r="I452" s="17" t="n">
        <v>0</v>
      </c>
      <c r="J452" s="17" t="inlineStr">
        <is>
          <t>No Purchase</t>
        </is>
      </c>
      <c r="K452" s="17" t="inlineStr">
        <is>
          <t>Exited Early</t>
        </is>
      </c>
      <c r="L452" s="17" t="inlineStr">
        <is>
          <t>Free</t>
        </is>
      </c>
      <c r="M452" s="17" t="n">
        <v>18</v>
      </c>
      <c r="N452" s="17" t="inlineStr">
        <is>
          <t>No</t>
        </is>
      </c>
      <c r="O452" s="17">
        <f>TEXT(G452,"yyyy-mm")</f>
        <v/>
      </c>
      <c r="P452" s="17">
        <f>IF(H452&lt;20,"Low",IF(H452&lt;=60,"Medium","High"))</f>
        <v/>
      </c>
      <c r="Q452" s="17">
        <f>IF(I452&gt;0,"Yes","No")</f>
        <v/>
      </c>
      <c r="R452" s="17">
        <f>IF(N452="Yes",1,0)</f>
        <v/>
      </c>
      <c r="S452" s="17">
        <f>IF(N452=IF(OR(H452&gt;150,I452&gt;40),"Yes","No"),"Match","Mismatch")</f>
        <v/>
      </c>
    </row>
    <row r="453">
      <c r="A453" s="17" t="inlineStr">
        <is>
          <t>S00401</t>
        </is>
      </c>
      <c r="B453" s="17" t="inlineStr">
        <is>
          <t>P3613</t>
        </is>
      </c>
      <c r="C453" s="17" t="inlineStr">
        <is>
          <t>sandraclark</t>
        </is>
      </c>
      <c r="D453" s="17" t="inlineStr">
        <is>
          <t>SpeedX</t>
        </is>
      </c>
      <c r="E453" s="17" t="inlineStr">
        <is>
          <t>Mobile</t>
        </is>
      </c>
      <c r="F453" s="17" t="inlineStr">
        <is>
          <t>North</t>
        </is>
      </c>
      <c r="G453" s="18" t="n">
        <v>45803</v>
      </c>
      <c r="H453" s="17" t="n">
        <v>105</v>
      </c>
      <c r="I453" s="17" t="n">
        <v>0</v>
      </c>
      <c r="J453" s="17" t="inlineStr">
        <is>
          <t>No Purchase</t>
        </is>
      </c>
      <c r="K453" s="17" t="inlineStr">
        <is>
          <t>Completed</t>
        </is>
      </c>
      <c r="L453" s="17" t="inlineStr">
        <is>
          <t>Free</t>
        </is>
      </c>
      <c r="M453" s="17" t="n">
        <v>24</v>
      </c>
      <c r="N453" s="17" t="inlineStr">
        <is>
          <t>No</t>
        </is>
      </c>
      <c r="O453" s="17">
        <f>TEXT(G453,"yyyy-mm")</f>
        <v/>
      </c>
      <c r="P453" s="17">
        <f>IF(H453&lt;20,"Low",IF(H453&lt;=60,"Medium","High"))</f>
        <v/>
      </c>
      <c r="Q453" s="17">
        <f>IF(I453&gt;0,"Yes","No")</f>
        <v/>
      </c>
      <c r="R453" s="17">
        <f>IF(N453="Yes",1,0)</f>
        <v/>
      </c>
      <c r="S453" s="17">
        <f>IF(N453=IF(OR(H453&gt;150,I453&gt;40),"Yes","No"),"Match","Mismatch")</f>
        <v/>
      </c>
    </row>
    <row r="454">
      <c r="A454" s="17" t="inlineStr">
        <is>
          <t>S00389</t>
        </is>
      </c>
      <c r="B454" s="17" t="inlineStr">
        <is>
          <t>P4758</t>
        </is>
      </c>
      <c r="C454" s="17" t="inlineStr">
        <is>
          <t>howardsamantha</t>
        </is>
      </c>
      <c r="D454" s="17" t="inlineStr">
        <is>
          <t>Empire Wars</t>
        </is>
      </c>
      <c r="E454" s="17" t="inlineStr">
        <is>
          <t>PC</t>
        </is>
      </c>
      <c r="F454" s="17" t="inlineStr">
        <is>
          <t>North-East</t>
        </is>
      </c>
      <c r="G454" s="18" t="n">
        <v>45803</v>
      </c>
      <c r="H454" s="17" t="n">
        <v>76</v>
      </c>
      <c r="I454" s="17" t="n">
        <v>37.02</v>
      </c>
      <c r="J454" s="17" t="inlineStr">
        <is>
          <t>Battle Pass</t>
        </is>
      </c>
      <c r="K454" s="17" t="inlineStr">
        <is>
          <t>Completed</t>
        </is>
      </c>
      <c r="L454" s="17" t="inlineStr">
        <is>
          <t>Paid</t>
        </is>
      </c>
      <c r="M454" s="17" t="n">
        <v>4</v>
      </c>
      <c r="N454" s="17" t="inlineStr">
        <is>
          <t>No</t>
        </is>
      </c>
      <c r="O454" s="17">
        <f>TEXT(G454,"yyyy-mm")</f>
        <v/>
      </c>
      <c r="P454" s="17">
        <f>IF(H454&lt;20,"Low",IF(H454&lt;=60,"Medium","High"))</f>
        <v/>
      </c>
      <c r="Q454" s="17">
        <f>IF(I454&gt;0,"Yes","No")</f>
        <v/>
      </c>
      <c r="R454" s="17">
        <f>IF(N454="Yes",1,0)</f>
        <v/>
      </c>
      <c r="S454" s="17">
        <f>IF(N454=IF(OR(H454&gt;150,I454&gt;40),"Yes","No"),"Match","Mismatch")</f>
        <v/>
      </c>
    </row>
    <row r="455">
      <c r="A455" s="17" t="inlineStr">
        <is>
          <t>S00420</t>
        </is>
      </c>
      <c r="B455" s="17" t="inlineStr">
        <is>
          <t>P8628</t>
        </is>
      </c>
      <c r="C455" s="17" t="inlineStr">
        <is>
          <t>russochelsey</t>
        </is>
      </c>
      <c r="D455" s="17" t="inlineStr">
        <is>
          <t>Clash of Realms</t>
        </is>
      </c>
      <c r="E455" s="17" t="inlineStr">
        <is>
          <t>Mobile</t>
        </is>
      </c>
      <c r="F455" s="17" t="inlineStr">
        <is>
          <t>Central</t>
        </is>
      </c>
      <c r="G455" s="18" t="n">
        <v>45804</v>
      </c>
      <c r="H455" s="17" t="n">
        <v>35</v>
      </c>
      <c r="I455" s="17" t="n">
        <v>13.33</v>
      </c>
      <c r="J455" s="17" t="inlineStr">
        <is>
          <t>Skins</t>
        </is>
      </c>
      <c r="K455" s="17" t="inlineStr">
        <is>
          <t>Completed</t>
        </is>
      </c>
      <c r="L455" s="17" t="inlineStr">
        <is>
          <t>Paid</t>
        </is>
      </c>
      <c r="M455" s="17" t="n">
        <v>42</v>
      </c>
      <c r="N455" s="17" t="inlineStr">
        <is>
          <t>No</t>
        </is>
      </c>
      <c r="O455" s="17">
        <f>TEXT(G455,"yyyy-mm")</f>
        <v/>
      </c>
      <c r="P455" s="17">
        <f>IF(H455&lt;20,"Low",IF(H455&lt;=60,"Medium","High"))</f>
        <v/>
      </c>
      <c r="Q455" s="17">
        <f>IF(I455&gt;0,"Yes","No")</f>
        <v/>
      </c>
      <c r="R455" s="17">
        <f>IF(N455="Yes",1,0)</f>
        <v/>
      </c>
      <c r="S455" s="17">
        <f>IF(N455=IF(OR(H455&gt;150,I455&gt;40),"Yes","No"),"Match","Mismatch")</f>
        <v/>
      </c>
    </row>
    <row r="456">
      <c r="A456" s="17" t="inlineStr">
        <is>
          <t>S00229</t>
        </is>
      </c>
      <c r="B456" s="17" t="inlineStr">
        <is>
          <t>P1732</t>
        </is>
      </c>
      <c r="C456" s="17" t="inlineStr">
        <is>
          <t>zjames</t>
        </is>
      </c>
      <c r="D456" s="17" t="inlineStr">
        <is>
          <t>Empire Wars</t>
        </is>
      </c>
      <c r="E456" s="17" t="inlineStr">
        <is>
          <t>Console</t>
        </is>
      </c>
      <c r="F456" s="17" t="inlineStr">
        <is>
          <t>Central</t>
        </is>
      </c>
      <c r="G456" s="18" t="n">
        <v>45804</v>
      </c>
      <c r="H456" s="17" t="n">
        <v>48</v>
      </c>
      <c r="I456" s="17" t="n">
        <v>0</v>
      </c>
      <c r="J456" s="17" t="inlineStr">
        <is>
          <t>No Purchase</t>
        </is>
      </c>
      <c r="K456" s="17" t="inlineStr">
        <is>
          <t>Exited Early</t>
        </is>
      </c>
      <c r="L456" s="17" t="inlineStr">
        <is>
          <t>Free</t>
        </is>
      </c>
      <c r="M456" s="17" t="n">
        <v>36</v>
      </c>
      <c r="N456" s="17" t="inlineStr">
        <is>
          <t>No</t>
        </is>
      </c>
      <c r="O456" s="17">
        <f>TEXT(G456,"yyyy-mm")</f>
        <v/>
      </c>
      <c r="P456" s="17">
        <f>IF(H456&lt;20,"Low",IF(H456&lt;=60,"Medium","High"))</f>
        <v/>
      </c>
      <c r="Q456" s="17">
        <f>IF(I456&gt;0,"Yes","No")</f>
        <v/>
      </c>
      <c r="R456" s="17">
        <f>IF(N456="Yes",1,0)</f>
        <v/>
      </c>
      <c r="S456" s="17">
        <f>IF(N456=IF(OR(H456&gt;150,I456&gt;40),"Yes","No"),"Match","Mismatch")</f>
        <v/>
      </c>
    </row>
    <row r="457">
      <c r="A457" s="17" t="inlineStr">
        <is>
          <t>S00402</t>
        </is>
      </c>
      <c r="B457" s="17" t="inlineStr">
        <is>
          <t>P1659</t>
        </is>
      </c>
      <c r="C457" s="17" t="inlineStr">
        <is>
          <t>ffitzpatrick</t>
        </is>
      </c>
      <c r="D457" s="17" t="inlineStr">
        <is>
          <t>Empire Wars</t>
        </is>
      </c>
      <c r="E457" s="17" t="inlineStr">
        <is>
          <t>Console</t>
        </is>
      </c>
      <c r="F457" s="17" t="inlineStr">
        <is>
          <t>North</t>
        </is>
      </c>
      <c r="G457" s="18" t="n">
        <v>45804</v>
      </c>
      <c r="H457" s="17" t="n">
        <v>22</v>
      </c>
      <c r="I457" s="17" t="n">
        <v>42.28</v>
      </c>
      <c r="J457" s="17" t="inlineStr">
        <is>
          <t>Subscriptions</t>
        </is>
      </c>
      <c r="K457" s="17" t="inlineStr">
        <is>
          <t>Incomplete</t>
        </is>
      </c>
      <c r="L457" s="17" t="inlineStr">
        <is>
          <t>Paid</t>
        </is>
      </c>
      <c r="M457" s="17" t="n">
        <v>10</v>
      </c>
      <c r="N457" s="17" t="inlineStr">
        <is>
          <t>Yes</t>
        </is>
      </c>
      <c r="O457" s="17">
        <f>TEXT(G457,"yyyy-mm")</f>
        <v/>
      </c>
      <c r="P457" s="17">
        <f>IF(H457&lt;20,"Low",IF(H457&lt;=60,"Medium","High"))</f>
        <v/>
      </c>
      <c r="Q457" s="17">
        <f>IF(I457&gt;0,"Yes","No")</f>
        <v/>
      </c>
      <c r="R457" s="17">
        <f>IF(N457="Yes",1,0)</f>
        <v/>
      </c>
      <c r="S457" s="17">
        <f>IF(N457=IF(OR(H457&gt;150,I457&gt;40),"Yes","No"),"Match","Mismatch")</f>
        <v/>
      </c>
    </row>
    <row r="458">
      <c r="A458" s="17" t="inlineStr">
        <is>
          <t>S00482</t>
        </is>
      </c>
      <c r="B458" s="17" t="inlineStr">
        <is>
          <t>P6129</t>
        </is>
      </c>
      <c r="C458" s="17" t="inlineStr">
        <is>
          <t>donna27</t>
        </is>
      </c>
      <c r="D458" s="17" t="inlineStr">
        <is>
          <t>Zombie Rush</t>
        </is>
      </c>
      <c r="E458" s="17" t="inlineStr">
        <is>
          <t>Mobile</t>
        </is>
      </c>
      <c r="F458" s="17" t="inlineStr">
        <is>
          <t>North-East</t>
        </is>
      </c>
      <c r="G458" s="18" t="n">
        <v>45804</v>
      </c>
      <c r="H458" s="17" t="n">
        <v>167</v>
      </c>
      <c r="I458" s="17" t="n">
        <v>0</v>
      </c>
      <c r="J458" s="17" t="inlineStr">
        <is>
          <t>No Purchase</t>
        </is>
      </c>
      <c r="K458" s="17" t="inlineStr">
        <is>
          <t>Completed</t>
        </is>
      </c>
      <c r="L458" s="17" t="inlineStr">
        <is>
          <t>Free</t>
        </is>
      </c>
      <c r="M458" s="17" t="n">
        <v>28</v>
      </c>
      <c r="N458" s="17" t="inlineStr">
        <is>
          <t>Yes</t>
        </is>
      </c>
      <c r="O458" s="17">
        <f>TEXT(G458,"yyyy-mm")</f>
        <v/>
      </c>
      <c r="P458" s="17">
        <f>IF(H458&lt;20,"Low",IF(H458&lt;=60,"Medium","High"))</f>
        <v/>
      </c>
      <c r="Q458" s="17">
        <f>IF(I458&gt;0,"Yes","No")</f>
        <v/>
      </c>
      <c r="R458" s="17">
        <f>IF(N458="Yes",1,0)</f>
        <v/>
      </c>
      <c r="S458" s="17">
        <f>IF(N458=IF(OR(H458&gt;150,I458&gt;40),"Yes","No"),"Match","Mismatch")</f>
        <v/>
      </c>
    </row>
    <row r="459">
      <c r="A459" s="17" t="inlineStr">
        <is>
          <t>S00061</t>
        </is>
      </c>
      <c r="B459" s="17" t="inlineStr">
        <is>
          <t>P7473</t>
        </is>
      </c>
      <c r="C459" s="17" t="inlineStr">
        <is>
          <t>sholmes</t>
        </is>
      </c>
      <c r="D459" s="17" t="inlineStr">
        <is>
          <t>SpeedX</t>
        </is>
      </c>
      <c r="E459" s="17" t="inlineStr">
        <is>
          <t>Console</t>
        </is>
      </c>
      <c r="F459" s="17" t="inlineStr">
        <is>
          <t>North</t>
        </is>
      </c>
      <c r="G459" s="18" t="n">
        <v>45804</v>
      </c>
      <c r="H459" s="17" t="n">
        <v>156</v>
      </c>
      <c r="I459" s="17" t="n">
        <v>0</v>
      </c>
      <c r="J459" s="17" t="inlineStr">
        <is>
          <t>No Purchase</t>
        </is>
      </c>
      <c r="K459" s="17" t="inlineStr">
        <is>
          <t>Completed</t>
        </is>
      </c>
      <c r="L459" s="17" t="inlineStr">
        <is>
          <t>Paid</t>
        </is>
      </c>
      <c r="M459" s="17" t="n">
        <v>50</v>
      </c>
      <c r="N459" s="17" t="inlineStr">
        <is>
          <t>Yes</t>
        </is>
      </c>
      <c r="O459" s="17">
        <f>TEXT(G459,"yyyy-mm")</f>
        <v/>
      </c>
      <c r="P459" s="17">
        <f>IF(H459&lt;20,"Low",IF(H459&lt;=60,"Medium","High"))</f>
        <v/>
      </c>
      <c r="Q459" s="17">
        <f>IF(I459&gt;0,"Yes","No")</f>
        <v/>
      </c>
      <c r="R459" s="17">
        <f>IF(N459="Yes",1,0)</f>
        <v/>
      </c>
      <c r="S459" s="17">
        <f>IF(N459=IF(OR(H459&gt;150,I459&gt;40),"Yes","No"),"Match","Mismatch")</f>
        <v/>
      </c>
    </row>
    <row r="460">
      <c r="A460" s="17" t="inlineStr">
        <is>
          <t>S00263</t>
        </is>
      </c>
      <c r="B460" s="17" t="inlineStr">
        <is>
          <t>P2082</t>
        </is>
      </c>
      <c r="C460" s="17" t="inlineStr">
        <is>
          <t>iadkins</t>
        </is>
      </c>
      <c r="D460" s="17" t="inlineStr">
        <is>
          <t>Zombie Rush</t>
        </is>
      </c>
      <c r="E460" s="17" t="inlineStr">
        <is>
          <t>Console</t>
        </is>
      </c>
      <c r="F460" s="17" t="inlineStr">
        <is>
          <t>North</t>
        </is>
      </c>
      <c r="G460" s="18" t="n">
        <v>45804</v>
      </c>
      <c r="H460" s="17" t="n">
        <v>176</v>
      </c>
      <c r="I460" s="17" t="n">
        <v>44.39</v>
      </c>
      <c r="J460" s="17" t="inlineStr">
        <is>
          <t>Battle Pass</t>
        </is>
      </c>
      <c r="K460" s="17" t="inlineStr">
        <is>
          <t>Completed</t>
        </is>
      </c>
      <c r="L460" s="17" t="inlineStr">
        <is>
          <t>Paid</t>
        </is>
      </c>
      <c r="M460" s="17" t="n">
        <v>18</v>
      </c>
      <c r="N460" s="17" t="inlineStr">
        <is>
          <t>Yes</t>
        </is>
      </c>
      <c r="O460" s="17">
        <f>TEXT(G460,"yyyy-mm")</f>
        <v/>
      </c>
      <c r="P460" s="17">
        <f>IF(H460&lt;20,"Low",IF(H460&lt;=60,"Medium","High"))</f>
        <v/>
      </c>
      <c r="Q460" s="17">
        <f>IF(I460&gt;0,"Yes","No")</f>
        <v/>
      </c>
      <c r="R460" s="17">
        <f>IF(N460="Yes",1,0)</f>
        <v/>
      </c>
      <c r="S460" s="17">
        <f>IF(N460=IF(OR(H460&gt;150,I460&gt;40),"Yes","No"),"Match","Mismatch")</f>
        <v/>
      </c>
    </row>
    <row r="461">
      <c r="A461" s="17" t="inlineStr">
        <is>
          <t>S00205</t>
        </is>
      </c>
      <c r="B461" s="17" t="inlineStr">
        <is>
          <t>P8927</t>
        </is>
      </c>
      <c r="C461" s="17" t="inlineStr">
        <is>
          <t>xpadilla</t>
        </is>
      </c>
      <c r="D461" s="17" t="inlineStr">
        <is>
          <t>BattleZone</t>
        </is>
      </c>
      <c r="E461" s="17" t="inlineStr">
        <is>
          <t>Mobile</t>
        </is>
      </c>
      <c r="F461" s="17" t="inlineStr">
        <is>
          <t>North</t>
        </is>
      </c>
      <c r="G461" s="18" t="n">
        <v>45805</v>
      </c>
      <c r="H461" s="17" t="n">
        <v>46</v>
      </c>
      <c r="I461" s="17" t="n">
        <v>0</v>
      </c>
      <c r="J461" s="17" t="inlineStr">
        <is>
          <t>No Purchase</t>
        </is>
      </c>
      <c r="K461" s="17" t="inlineStr">
        <is>
          <t>Completed</t>
        </is>
      </c>
      <c r="L461" s="17" t="inlineStr">
        <is>
          <t>Paid</t>
        </is>
      </c>
      <c r="M461" s="17" t="n">
        <v>42</v>
      </c>
      <c r="N461" s="17" t="inlineStr">
        <is>
          <t>No</t>
        </is>
      </c>
      <c r="O461" s="17">
        <f>TEXT(G461,"yyyy-mm")</f>
        <v/>
      </c>
      <c r="P461" s="17">
        <f>IF(H461&lt;20,"Low",IF(H461&lt;=60,"Medium","High"))</f>
        <v/>
      </c>
      <c r="Q461" s="17">
        <f>IF(I461&gt;0,"Yes","No")</f>
        <v/>
      </c>
      <c r="R461" s="17">
        <f>IF(N461="Yes",1,0)</f>
        <v/>
      </c>
      <c r="S461" s="17">
        <f>IF(N461=IF(OR(H461&gt;150,I461&gt;40),"Yes","No"),"Match","Mismatch")</f>
        <v/>
      </c>
    </row>
    <row r="462">
      <c r="A462" s="17" t="inlineStr">
        <is>
          <t>S00394</t>
        </is>
      </c>
      <c r="B462" s="17" t="inlineStr">
        <is>
          <t>P6548</t>
        </is>
      </c>
      <c r="C462" s="17" t="inlineStr">
        <is>
          <t>hillchristopher</t>
        </is>
      </c>
      <c r="D462" s="17" t="inlineStr">
        <is>
          <t>Zombie Rush</t>
        </is>
      </c>
      <c r="E462" s="17" t="inlineStr">
        <is>
          <t>PC</t>
        </is>
      </c>
      <c r="F462" s="17" t="inlineStr">
        <is>
          <t>North-East</t>
        </is>
      </c>
      <c r="G462" s="18" t="n">
        <v>45806</v>
      </c>
      <c r="H462" s="17" t="n">
        <v>34</v>
      </c>
      <c r="I462" s="17" t="n">
        <v>0</v>
      </c>
      <c r="J462" s="17" t="inlineStr">
        <is>
          <t>No Purchase</t>
        </is>
      </c>
      <c r="K462" s="17" t="inlineStr">
        <is>
          <t>Completed</t>
        </is>
      </c>
      <c r="L462" s="17" t="inlineStr">
        <is>
          <t>Free</t>
        </is>
      </c>
      <c r="M462" s="17" t="n">
        <v>45</v>
      </c>
      <c r="N462" s="17" t="inlineStr">
        <is>
          <t>No</t>
        </is>
      </c>
      <c r="O462" s="17">
        <f>TEXT(G462,"yyyy-mm")</f>
        <v/>
      </c>
      <c r="P462" s="17">
        <f>IF(H462&lt;20,"Low",IF(H462&lt;=60,"Medium","High"))</f>
        <v/>
      </c>
      <c r="Q462" s="17">
        <f>IF(I462&gt;0,"Yes","No")</f>
        <v/>
      </c>
      <c r="R462" s="17">
        <f>IF(N462="Yes",1,0)</f>
        <v/>
      </c>
      <c r="S462" s="17">
        <f>IF(N462=IF(OR(H462&gt;150,I462&gt;40),"Yes","No"),"Match","Mismatch")</f>
        <v/>
      </c>
    </row>
    <row r="463">
      <c r="A463" s="17" t="inlineStr">
        <is>
          <t>S00177</t>
        </is>
      </c>
      <c r="B463" s="17" t="inlineStr">
        <is>
          <t>P4485</t>
        </is>
      </c>
      <c r="C463" s="17" t="inlineStr">
        <is>
          <t>iyoung</t>
        </is>
      </c>
      <c r="D463" s="17" t="inlineStr">
        <is>
          <t>Clash of Realms</t>
        </is>
      </c>
      <c r="E463" s="17" t="inlineStr">
        <is>
          <t>Mobile</t>
        </is>
      </c>
      <c r="F463" s="17" t="inlineStr">
        <is>
          <t>East</t>
        </is>
      </c>
      <c r="G463" s="18" t="n">
        <v>45806</v>
      </c>
      <c r="H463" s="17" t="n">
        <v>111</v>
      </c>
      <c r="I463" s="17" t="n">
        <v>0</v>
      </c>
      <c r="J463" s="17" t="inlineStr">
        <is>
          <t>No Purchase</t>
        </is>
      </c>
      <c r="K463" s="17" t="inlineStr">
        <is>
          <t>Completed</t>
        </is>
      </c>
      <c r="L463" s="17" t="inlineStr">
        <is>
          <t>Free</t>
        </is>
      </c>
      <c r="M463" s="17" t="n">
        <v>26</v>
      </c>
      <c r="N463" s="17" t="inlineStr">
        <is>
          <t>No</t>
        </is>
      </c>
      <c r="O463" s="17">
        <f>TEXT(G463,"yyyy-mm")</f>
        <v/>
      </c>
      <c r="P463" s="17">
        <f>IF(H463&lt;20,"Low",IF(H463&lt;=60,"Medium","High"))</f>
        <v/>
      </c>
      <c r="Q463" s="17">
        <f>IF(I463&gt;0,"Yes","No")</f>
        <v/>
      </c>
      <c r="R463" s="17">
        <f>IF(N463="Yes",1,0)</f>
        <v/>
      </c>
      <c r="S463" s="17">
        <f>IF(N463=IF(OR(H463&gt;150,I463&gt;40),"Yes","No"),"Match","Mismatch")</f>
        <v/>
      </c>
    </row>
    <row r="464">
      <c r="A464" s="17" t="inlineStr">
        <is>
          <t>S00349</t>
        </is>
      </c>
      <c r="B464" s="17" t="inlineStr">
        <is>
          <t>P9419</t>
        </is>
      </c>
      <c r="C464" s="17" t="inlineStr">
        <is>
          <t>angelaramsey</t>
        </is>
      </c>
      <c r="D464" s="17" t="inlineStr">
        <is>
          <t>BattleZone</t>
        </is>
      </c>
      <c r="E464" s="17" t="inlineStr">
        <is>
          <t>Console</t>
        </is>
      </c>
      <c r="F464" s="17" t="inlineStr">
        <is>
          <t>South</t>
        </is>
      </c>
      <c r="G464" s="18" t="n">
        <v>45807</v>
      </c>
      <c r="H464" s="17" t="n">
        <v>165</v>
      </c>
      <c r="I464" s="17" t="n">
        <v>0</v>
      </c>
      <c r="J464" s="17" t="inlineStr">
        <is>
          <t>No Purchase</t>
        </is>
      </c>
      <c r="K464" s="17" t="inlineStr">
        <is>
          <t>Completed</t>
        </is>
      </c>
      <c r="L464" s="17" t="inlineStr">
        <is>
          <t>Free</t>
        </is>
      </c>
      <c r="M464" s="17" t="n">
        <v>15</v>
      </c>
      <c r="N464" s="17" t="inlineStr">
        <is>
          <t>Yes</t>
        </is>
      </c>
      <c r="O464" s="17">
        <f>TEXT(G464,"yyyy-mm")</f>
        <v/>
      </c>
      <c r="P464" s="17">
        <f>IF(H464&lt;20,"Low",IF(H464&lt;=60,"Medium","High"))</f>
        <v/>
      </c>
      <c r="Q464" s="17">
        <f>IF(I464&gt;0,"Yes","No")</f>
        <v/>
      </c>
      <c r="R464" s="17">
        <f>IF(N464="Yes",1,0)</f>
        <v/>
      </c>
      <c r="S464" s="17">
        <f>IF(N464=IF(OR(H464&gt;150,I464&gt;40),"Yes","No"),"Match","Mismatch")</f>
        <v/>
      </c>
    </row>
    <row r="465">
      <c r="A465" s="17" t="inlineStr">
        <is>
          <t>S00021</t>
        </is>
      </c>
      <c r="B465" s="17" t="inlineStr">
        <is>
          <t>P1758</t>
        </is>
      </c>
      <c r="C465" s="17" t="inlineStr">
        <is>
          <t>lawsonderrick</t>
        </is>
      </c>
      <c r="D465" s="17" t="inlineStr">
        <is>
          <t>BattleZone</t>
        </is>
      </c>
      <c r="E465" s="17" t="inlineStr">
        <is>
          <t>PC</t>
        </is>
      </c>
      <c r="F465" s="17" t="inlineStr">
        <is>
          <t>North-East</t>
        </is>
      </c>
      <c r="G465" s="18" t="n">
        <v>45808</v>
      </c>
      <c r="H465" s="17" t="n">
        <v>168</v>
      </c>
      <c r="I465" s="17" t="n">
        <v>0</v>
      </c>
      <c r="J465" s="17" t="inlineStr">
        <is>
          <t>No Purchase</t>
        </is>
      </c>
      <c r="K465" s="17" t="inlineStr">
        <is>
          <t>Completed</t>
        </is>
      </c>
      <c r="L465" s="17" t="inlineStr">
        <is>
          <t>Free</t>
        </is>
      </c>
      <c r="M465" s="17" t="n">
        <v>33</v>
      </c>
      <c r="N465" s="17" t="inlineStr">
        <is>
          <t>Yes</t>
        </is>
      </c>
      <c r="O465" s="17">
        <f>TEXT(G465,"yyyy-mm")</f>
        <v/>
      </c>
      <c r="P465" s="17">
        <f>IF(H465&lt;20,"Low",IF(H465&lt;=60,"Medium","High"))</f>
        <v/>
      </c>
      <c r="Q465" s="17">
        <f>IF(I465&gt;0,"Yes","No")</f>
        <v/>
      </c>
      <c r="R465" s="17">
        <f>IF(N465="Yes",1,0)</f>
        <v/>
      </c>
      <c r="S465" s="17">
        <f>IF(N465=IF(OR(H465&gt;150,I465&gt;40),"Yes","No"),"Match","Mismatch")</f>
        <v/>
      </c>
    </row>
    <row r="466">
      <c r="A466" s="17" t="inlineStr">
        <is>
          <t>S00199</t>
        </is>
      </c>
      <c r="B466" s="17" t="inlineStr">
        <is>
          <t>P9860</t>
        </is>
      </c>
      <c r="C466" s="17" t="inlineStr">
        <is>
          <t>andrewbrown</t>
        </is>
      </c>
      <c r="D466" s="17" t="inlineStr">
        <is>
          <t>SpeedX</t>
        </is>
      </c>
      <c r="E466" s="17" t="inlineStr">
        <is>
          <t>Console</t>
        </is>
      </c>
      <c r="F466" s="17" t="inlineStr">
        <is>
          <t>West</t>
        </is>
      </c>
      <c r="G466" s="18" t="n">
        <v>45808</v>
      </c>
      <c r="H466" s="17" t="n">
        <v>97</v>
      </c>
      <c r="I466" s="17" t="n">
        <v>0</v>
      </c>
      <c r="J466" s="17" t="inlineStr">
        <is>
          <t>No Purchase</t>
        </is>
      </c>
      <c r="K466" s="17" t="inlineStr">
        <is>
          <t>Completed</t>
        </is>
      </c>
      <c r="L466" s="17" t="inlineStr">
        <is>
          <t>Free</t>
        </is>
      </c>
      <c r="M466" s="17" t="n">
        <v>5</v>
      </c>
      <c r="N466" s="17" t="inlineStr">
        <is>
          <t>No</t>
        </is>
      </c>
      <c r="O466" s="17">
        <f>TEXT(G466,"yyyy-mm")</f>
        <v/>
      </c>
      <c r="P466" s="17">
        <f>IF(H466&lt;20,"Low",IF(H466&lt;=60,"Medium","High"))</f>
        <v/>
      </c>
      <c r="Q466" s="17">
        <f>IF(I466&gt;0,"Yes","No")</f>
        <v/>
      </c>
      <c r="R466" s="17">
        <f>IF(N466="Yes",1,0)</f>
        <v/>
      </c>
      <c r="S466" s="17">
        <f>IF(N466=IF(OR(H466&gt;150,I466&gt;40),"Yes","No"),"Match","Mismatch")</f>
        <v/>
      </c>
    </row>
    <row r="467">
      <c r="A467" s="17" t="inlineStr">
        <is>
          <t>S00392</t>
        </is>
      </c>
      <c r="B467" s="17" t="inlineStr">
        <is>
          <t>P2684</t>
        </is>
      </c>
      <c r="C467" s="17" t="inlineStr">
        <is>
          <t>bellraymond</t>
        </is>
      </c>
      <c r="D467" s="17" t="inlineStr">
        <is>
          <t>Zombie Rush</t>
        </is>
      </c>
      <c r="E467" s="17" t="inlineStr">
        <is>
          <t>Mobile</t>
        </is>
      </c>
      <c r="F467" s="17" t="inlineStr">
        <is>
          <t>Central</t>
        </is>
      </c>
      <c r="G467" s="18" t="n">
        <v>45808</v>
      </c>
      <c r="H467" s="17" t="n">
        <v>143</v>
      </c>
      <c r="I467" s="17" t="n">
        <v>0</v>
      </c>
      <c r="J467" s="17" t="inlineStr">
        <is>
          <t>No Purchase</t>
        </is>
      </c>
      <c r="K467" s="17" t="inlineStr">
        <is>
          <t>Incomplete</t>
        </is>
      </c>
      <c r="L467" s="17" t="inlineStr">
        <is>
          <t>Free</t>
        </is>
      </c>
      <c r="M467" s="17" t="n">
        <v>17</v>
      </c>
      <c r="N467" s="17" t="inlineStr">
        <is>
          <t>No</t>
        </is>
      </c>
      <c r="O467" s="17">
        <f>TEXT(G467,"yyyy-mm")</f>
        <v/>
      </c>
      <c r="P467" s="17">
        <f>IF(H467&lt;20,"Low",IF(H467&lt;=60,"Medium","High"))</f>
        <v/>
      </c>
      <c r="Q467" s="17">
        <f>IF(I467&gt;0,"Yes","No")</f>
        <v/>
      </c>
      <c r="R467" s="17">
        <f>IF(N467="Yes",1,0)</f>
        <v/>
      </c>
      <c r="S467" s="17">
        <f>IF(N467=IF(OR(H467&gt;150,I467&gt;40),"Yes","No"),"Match","Mismatch")</f>
        <v/>
      </c>
    </row>
    <row r="468">
      <c r="A468" s="17" t="inlineStr">
        <is>
          <t>S00472</t>
        </is>
      </c>
      <c r="B468" s="17" t="inlineStr">
        <is>
          <t>P7312</t>
        </is>
      </c>
      <c r="C468" s="17" t="inlineStr">
        <is>
          <t>erika85</t>
        </is>
      </c>
      <c r="D468" s="17" t="inlineStr">
        <is>
          <t>Empire Wars</t>
        </is>
      </c>
      <c r="E468" s="17" t="inlineStr">
        <is>
          <t>Console</t>
        </is>
      </c>
      <c r="F468" s="17" t="inlineStr">
        <is>
          <t>South</t>
        </is>
      </c>
      <c r="G468" s="18" t="n">
        <v>45808</v>
      </c>
      <c r="H468" s="17" t="n">
        <v>22</v>
      </c>
      <c r="I468" s="17" t="n">
        <v>0</v>
      </c>
      <c r="J468" s="17" t="inlineStr">
        <is>
          <t>No Purchase</t>
        </is>
      </c>
      <c r="K468" s="17" t="inlineStr">
        <is>
          <t>Completed</t>
        </is>
      </c>
      <c r="L468" s="17" t="inlineStr">
        <is>
          <t>Free</t>
        </is>
      </c>
      <c r="M468" s="17" t="n">
        <v>36</v>
      </c>
      <c r="N468" s="17" t="inlineStr">
        <is>
          <t>No</t>
        </is>
      </c>
      <c r="O468" s="17">
        <f>TEXT(G468,"yyyy-mm")</f>
        <v/>
      </c>
      <c r="P468" s="17">
        <f>IF(H468&lt;20,"Low",IF(H468&lt;=60,"Medium","High"))</f>
        <v/>
      </c>
      <c r="Q468" s="17">
        <f>IF(I468&gt;0,"Yes","No")</f>
        <v/>
      </c>
      <c r="R468" s="17">
        <f>IF(N468="Yes",1,0)</f>
        <v/>
      </c>
      <c r="S468" s="17">
        <f>IF(N468=IF(OR(H468&gt;150,I468&gt;40),"Yes","No"),"Match","Mismatch")</f>
        <v/>
      </c>
    </row>
    <row r="469">
      <c r="A469" s="17" t="inlineStr">
        <is>
          <t>S00091</t>
        </is>
      </c>
      <c r="B469" s="17" t="inlineStr">
        <is>
          <t>P6128</t>
        </is>
      </c>
      <c r="C469" s="17" t="inlineStr">
        <is>
          <t>justinvargas</t>
        </is>
      </c>
      <c r="D469" s="17" t="inlineStr">
        <is>
          <t>Clash of Realms</t>
        </is>
      </c>
      <c r="E469" s="17" t="inlineStr">
        <is>
          <t>Console</t>
        </is>
      </c>
      <c r="F469" s="17" t="inlineStr">
        <is>
          <t>West</t>
        </is>
      </c>
      <c r="G469" s="18" t="n">
        <v>45809</v>
      </c>
      <c r="H469" s="17" t="n">
        <v>76</v>
      </c>
      <c r="I469" s="17" t="n">
        <v>0</v>
      </c>
      <c r="J469" s="17" t="inlineStr">
        <is>
          <t>No Purchase</t>
        </is>
      </c>
      <c r="K469" s="17" t="inlineStr">
        <is>
          <t>Completed</t>
        </is>
      </c>
      <c r="L469" s="17" t="inlineStr">
        <is>
          <t>Free</t>
        </is>
      </c>
      <c r="M469" s="17" t="n">
        <v>44</v>
      </c>
      <c r="N469" s="17" t="inlineStr">
        <is>
          <t>No</t>
        </is>
      </c>
      <c r="O469" s="17">
        <f>TEXT(G469,"yyyy-mm")</f>
        <v/>
      </c>
      <c r="P469" s="17">
        <f>IF(H469&lt;20,"Low",IF(H469&lt;=60,"Medium","High"))</f>
        <v/>
      </c>
      <c r="Q469" s="17">
        <f>IF(I469&gt;0,"Yes","No")</f>
        <v/>
      </c>
      <c r="R469" s="17">
        <f>IF(N469="Yes",1,0)</f>
        <v/>
      </c>
      <c r="S469" s="17">
        <f>IF(N469=IF(OR(H469&gt;150,I469&gt;40),"Yes","No"),"Match","Mismatch")</f>
        <v/>
      </c>
    </row>
    <row r="470">
      <c r="A470" s="17" t="inlineStr">
        <is>
          <t>S00388</t>
        </is>
      </c>
      <c r="B470" s="17" t="inlineStr">
        <is>
          <t>P6440</t>
        </is>
      </c>
      <c r="C470" s="17" t="inlineStr">
        <is>
          <t>lisabarber</t>
        </is>
      </c>
      <c r="D470" s="17" t="inlineStr">
        <is>
          <t>Clash of Realms</t>
        </is>
      </c>
      <c r="E470" s="17" t="inlineStr">
        <is>
          <t>Console</t>
        </is>
      </c>
      <c r="F470" s="17" t="inlineStr">
        <is>
          <t>North</t>
        </is>
      </c>
      <c r="G470" s="18" t="n">
        <v>45809</v>
      </c>
      <c r="H470" s="17" t="n">
        <v>134</v>
      </c>
      <c r="I470" s="17" t="n">
        <v>0</v>
      </c>
      <c r="J470" s="17" t="inlineStr">
        <is>
          <t>No Purchase</t>
        </is>
      </c>
      <c r="K470" s="17" t="inlineStr">
        <is>
          <t>Completed</t>
        </is>
      </c>
      <c r="L470" s="17" t="inlineStr">
        <is>
          <t>Free</t>
        </is>
      </c>
      <c r="M470" s="17" t="n">
        <v>28</v>
      </c>
      <c r="N470" s="17" t="inlineStr">
        <is>
          <t>No</t>
        </is>
      </c>
      <c r="O470" s="17">
        <f>TEXT(G470,"yyyy-mm")</f>
        <v/>
      </c>
      <c r="P470" s="17">
        <f>IF(H470&lt;20,"Low",IF(H470&lt;=60,"Medium","High"))</f>
        <v/>
      </c>
      <c r="Q470" s="17">
        <f>IF(I470&gt;0,"Yes","No")</f>
        <v/>
      </c>
      <c r="R470" s="17">
        <f>IF(N470="Yes",1,0)</f>
        <v/>
      </c>
      <c r="S470" s="17">
        <f>IF(N470=IF(OR(H470&gt;150,I470&gt;40),"Yes","No"),"Match","Mismatch")</f>
        <v/>
      </c>
    </row>
    <row r="471">
      <c r="A471" s="17" t="inlineStr">
        <is>
          <t>S00081</t>
        </is>
      </c>
      <c r="B471" s="17" t="inlineStr">
        <is>
          <t>P3235</t>
        </is>
      </c>
      <c r="C471" s="17" t="inlineStr">
        <is>
          <t>kellyhill</t>
        </is>
      </c>
      <c r="D471" s="17" t="inlineStr">
        <is>
          <t>Clash of Realms</t>
        </is>
      </c>
      <c r="E471" s="17" t="inlineStr">
        <is>
          <t>PC</t>
        </is>
      </c>
      <c r="F471" s="17" t="inlineStr">
        <is>
          <t>Central</t>
        </is>
      </c>
      <c r="G471" s="18" t="n">
        <v>45809</v>
      </c>
      <c r="H471" s="17" t="n">
        <v>60</v>
      </c>
      <c r="I471" s="17" t="n">
        <v>0</v>
      </c>
      <c r="J471" s="17" t="inlineStr">
        <is>
          <t>No Purchase</t>
        </is>
      </c>
      <c r="K471" s="17" t="inlineStr">
        <is>
          <t>Completed</t>
        </is>
      </c>
      <c r="L471" s="17" t="inlineStr">
        <is>
          <t>Free</t>
        </is>
      </c>
      <c r="M471" s="17" t="n">
        <v>44</v>
      </c>
      <c r="N471" s="17" t="inlineStr">
        <is>
          <t>No</t>
        </is>
      </c>
      <c r="O471" s="17">
        <f>TEXT(G471,"yyyy-mm")</f>
        <v/>
      </c>
      <c r="P471" s="17">
        <f>IF(H471&lt;20,"Low",IF(H471&lt;=60,"Medium","High"))</f>
        <v/>
      </c>
      <c r="Q471" s="17">
        <f>IF(I471&gt;0,"Yes","No")</f>
        <v/>
      </c>
      <c r="R471" s="17">
        <f>IF(N471="Yes",1,0)</f>
        <v/>
      </c>
      <c r="S471" s="17">
        <f>IF(N471=IF(OR(H471&gt;150,I471&gt;40),"Yes","No"),"Match","Mismatch")</f>
        <v/>
      </c>
    </row>
    <row r="472">
      <c r="A472" s="17" t="inlineStr">
        <is>
          <t>S00440</t>
        </is>
      </c>
      <c r="B472" s="17" t="inlineStr">
        <is>
          <t>P5667</t>
        </is>
      </c>
      <c r="C472" s="17" t="inlineStr">
        <is>
          <t>victoria39</t>
        </is>
      </c>
      <c r="D472" s="17" t="inlineStr">
        <is>
          <t>Clash of Realms</t>
        </is>
      </c>
      <c r="E472" s="17" t="inlineStr">
        <is>
          <t>PC</t>
        </is>
      </c>
      <c r="F472" s="17" t="inlineStr">
        <is>
          <t>West</t>
        </is>
      </c>
      <c r="G472" s="18" t="n">
        <v>45810</v>
      </c>
      <c r="H472" s="17" t="n">
        <v>33</v>
      </c>
      <c r="I472" s="17" t="n">
        <v>0</v>
      </c>
      <c r="J472" s="17" t="inlineStr">
        <is>
          <t>No Purchase</t>
        </is>
      </c>
      <c r="K472" s="17" t="inlineStr">
        <is>
          <t>Exited Early</t>
        </is>
      </c>
      <c r="L472" s="17" t="inlineStr">
        <is>
          <t>Free</t>
        </is>
      </c>
      <c r="M472" s="17" t="n">
        <v>20</v>
      </c>
      <c r="N472" s="17" t="inlineStr">
        <is>
          <t>No</t>
        </is>
      </c>
      <c r="O472" s="17">
        <f>TEXT(G472,"yyyy-mm")</f>
        <v/>
      </c>
      <c r="P472" s="17">
        <f>IF(H472&lt;20,"Low",IF(H472&lt;=60,"Medium","High"))</f>
        <v/>
      </c>
      <c r="Q472" s="17">
        <f>IF(I472&gt;0,"Yes","No")</f>
        <v/>
      </c>
      <c r="R472" s="17">
        <f>IF(N472="Yes",1,0)</f>
        <v/>
      </c>
      <c r="S472" s="17">
        <f>IF(N472=IF(OR(H472&gt;150,I472&gt;40),"Yes","No"),"Match","Mismatch")</f>
        <v/>
      </c>
    </row>
    <row r="473">
      <c r="A473" s="17" t="inlineStr">
        <is>
          <t>S00267</t>
        </is>
      </c>
      <c r="B473" s="17" t="inlineStr">
        <is>
          <t>P9642</t>
        </is>
      </c>
      <c r="C473" s="17" t="inlineStr">
        <is>
          <t>dfloyd</t>
        </is>
      </c>
      <c r="D473" s="17" t="inlineStr">
        <is>
          <t>Empire Wars</t>
        </is>
      </c>
      <c r="E473" s="17" t="inlineStr">
        <is>
          <t>Mobile</t>
        </is>
      </c>
      <c r="F473" s="17" t="inlineStr">
        <is>
          <t>East</t>
        </is>
      </c>
      <c r="G473" s="18" t="n">
        <v>45810</v>
      </c>
      <c r="H473" s="17" t="n">
        <v>128</v>
      </c>
      <c r="I473" s="17" t="n">
        <v>0</v>
      </c>
      <c r="J473" s="17" t="inlineStr">
        <is>
          <t>No Purchase</t>
        </is>
      </c>
      <c r="K473" s="17" t="inlineStr">
        <is>
          <t>Completed</t>
        </is>
      </c>
      <c r="L473" s="17" t="inlineStr">
        <is>
          <t>Free</t>
        </is>
      </c>
      <c r="M473" s="17" t="n">
        <v>15</v>
      </c>
      <c r="N473" s="17" t="inlineStr">
        <is>
          <t>No</t>
        </is>
      </c>
      <c r="O473" s="17">
        <f>TEXT(G473,"yyyy-mm")</f>
        <v/>
      </c>
      <c r="P473" s="17">
        <f>IF(H473&lt;20,"Low",IF(H473&lt;=60,"Medium","High"))</f>
        <v/>
      </c>
      <c r="Q473" s="17">
        <f>IF(I473&gt;0,"Yes","No")</f>
        <v/>
      </c>
      <c r="R473" s="17">
        <f>IF(N473="Yes",1,0)</f>
        <v/>
      </c>
      <c r="S473" s="17">
        <f>IF(N473=IF(OR(H473&gt;150,I473&gt;40),"Yes","No"),"Match","Mismatch")</f>
        <v/>
      </c>
    </row>
    <row r="474">
      <c r="A474" s="17" t="inlineStr">
        <is>
          <t>S00285</t>
        </is>
      </c>
      <c r="B474" s="17" t="inlineStr">
        <is>
          <t>P3464</t>
        </is>
      </c>
      <c r="C474" s="17" t="inlineStr">
        <is>
          <t>ryan43</t>
        </is>
      </c>
      <c r="D474" s="17" t="inlineStr">
        <is>
          <t>BattleZone</t>
        </is>
      </c>
      <c r="E474" s="17" t="inlineStr">
        <is>
          <t>Console</t>
        </is>
      </c>
      <c r="F474" s="17" t="inlineStr">
        <is>
          <t>North-East</t>
        </is>
      </c>
      <c r="G474" s="18" t="n">
        <v>45811</v>
      </c>
      <c r="H474" s="17" t="n">
        <v>85</v>
      </c>
      <c r="I474" s="17" t="n">
        <v>0</v>
      </c>
      <c r="J474" s="17" t="inlineStr">
        <is>
          <t>No Purchase</t>
        </is>
      </c>
      <c r="K474" s="17" t="inlineStr">
        <is>
          <t>Exited Early</t>
        </is>
      </c>
      <c r="L474" s="17" t="inlineStr">
        <is>
          <t>Free</t>
        </is>
      </c>
      <c r="M474" s="17" t="n">
        <v>24</v>
      </c>
      <c r="N474" s="17" t="inlineStr">
        <is>
          <t>No</t>
        </is>
      </c>
      <c r="O474" s="17">
        <f>TEXT(G474,"yyyy-mm")</f>
        <v/>
      </c>
      <c r="P474" s="17">
        <f>IF(H474&lt;20,"Low",IF(H474&lt;=60,"Medium","High"))</f>
        <v/>
      </c>
      <c r="Q474" s="17">
        <f>IF(I474&gt;0,"Yes","No")</f>
        <v/>
      </c>
      <c r="R474" s="17">
        <f>IF(N474="Yes",1,0)</f>
        <v/>
      </c>
      <c r="S474" s="17">
        <f>IF(N474=IF(OR(H474&gt;150,I474&gt;40),"Yes","No"),"Match","Mismatch")</f>
        <v/>
      </c>
    </row>
    <row r="475">
      <c r="A475" s="17" t="inlineStr">
        <is>
          <t>S00218</t>
        </is>
      </c>
      <c r="B475" s="17" t="inlineStr">
        <is>
          <t>P1617</t>
        </is>
      </c>
      <c r="C475" s="17" t="inlineStr">
        <is>
          <t>hlucas</t>
        </is>
      </c>
      <c r="D475" s="17" t="inlineStr">
        <is>
          <t>Clash of Realms</t>
        </is>
      </c>
      <c r="E475" s="17" t="inlineStr">
        <is>
          <t>Console</t>
        </is>
      </c>
      <c r="F475" s="17" t="inlineStr">
        <is>
          <t>North</t>
        </is>
      </c>
      <c r="G475" s="18" t="n">
        <v>45811</v>
      </c>
      <c r="H475" s="17" t="n">
        <v>44</v>
      </c>
      <c r="I475" s="17" t="n">
        <v>0</v>
      </c>
      <c r="J475" s="17" t="inlineStr">
        <is>
          <t>No Purchase</t>
        </is>
      </c>
      <c r="K475" s="17" t="inlineStr">
        <is>
          <t>Incomplete</t>
        </is>
      </c>
      <c r="L475" s="17" t="inlineStr">
        <is>
          <t>Free</t>
        </is>
      </c>
      <c r="M475" s="17" t="n">
        <v>27</v>
      </c>
      <c r="N475" s="17" t="inlineStr">
        <is>
          <t>No</t>
        </is>
      </c>
      <c r="O475" s="17">
        <f>TEXT(G475,"yyyy-mm")</f>
        <v/>
      </c>
      <c r="P475" s="17">
        <f>IF(H475&lt;20,"Low",IF(H475&lt;=60,"Medium","High"))</f>
        <v/>
      </c>
      <c r="Q475" s="17">
        <f>IF(I475&gt;0,"Yes","No")</f>
        <v/>
      </c>
      <c r="R475" s="17">
        <f>IF(N475="Yes",1,0)</f>
        <v/>
      </c>
      <c r="S475" s="17">
        <f>IF(N475=IF(OR(H475&gt;150,I475&gt;40),"Yes","No"),"Match","Mismatch")</f>
        <v/>
      </c>
    </row>
    <row r="476">
      <c r="A476" s="17" t="inlineStr">
        <is>
          <t>S00068</t>
        </is>
      </c>
      <c r="B476" s="17" t="inlineStr">
        <is>
          <t>P9995</t>
        </is>
      </c>
      <c r="C476" s="17" t="inlineStr">
        <is>
          <t>tinapreston</t>
        </is>
      </c>
      <c r="D476" s="17" t="inlineStr">
        <is>
          <t>BattleZone</t>
        </is>
      </c>
      <c r="E476" s="17" t="inlineStr">
        <is>
          <t>Console</t>
        </is>
      </c>
      <c r="F476" s="17" t="inlineStr">
        <is>
          <t>North</t>
        </is>
      </c>
      <c r="G476" s="18" t="n">
        <v>45811</v>
      </c>
      <c r="H476" s="17" t="n">
        <v>165</v>
      </c>
      <c r="I476" s="17" t="n">
        <v>0</v>
      </c>
      <c r="J476" s="17" t="inlineStr">
        <is>
          <t>No Purchase</t>
        </is>
      </c>
      <c r="K476" s="17" t="inlineStr">
        <is>
          <t>Completed</t>
        </is>
      </c>
      <c r="L476" s="17" t="inlineStr">
        <is>
          <t>Free</t>
        </is>
      </c>
      <c r="M476" s="17" t="n">
        <v>41</v>
      </c>
      <c r="N476" s="17" t="inlineStr">
        <is>
          <t>Yes</t>
        </is>
      </c>
      <c r="O476" s="17">
        <f>TEXT(G476,"yyyy-mm")</f>
        <v/>
      </c>
      <c r="P476" s="17">
        <f>IF(H476&lt;20,"Low",IF(H476&lt;=60,"Medium","High"))</f>
        <v/>
      </c>
      <c r="Q476" s="17">
        <f>IF(I476&gt;0,"Yes","No")</f>
        <v/>
      </c>
      <c r="R476" s="17">
        <f>IF(N476="Yes",1,0)</f>
        <v/>
      </c>
      <c r="S476" s="17">
        <f>IF(N476=IF(OR(H476&gt;150,I476&gt;40),"Yes","No"),"Match","Mismatch")</f>
        <v/>
      </c>
    </row>
    <row r="477">
      <c r="A477" s="17" t="inlineStr">
        <is>
          <t>S00418</t>
        </is>
      </c>
      <c r="B477" s="17" t="inlineStr">
        <is>
          <t>P5382</t>
        </is>
      </c>
      <c r="C477" s="17" t="inlineStr">
        <is>
          <t>sabrina44</t>
        </is>
      </c>
      <c r="D477" s="17" t="inlineStr">
        <is>
          <t>Clash of Realms</t>
        </is>
      </c>
      <c r="E477" s="17" t="inlineStr">
        <is>
          <t>PC</t>
        </is>
      </c>
      <c r="F477" s="17" t="inlineStr">
        <is>
          <t>South</t>
        </is>
      </c>
      <c r="G477" s="18" t="n">
        <v>45811</v>
      </c>
      <c r="H477" s="17" t="n">
        <v>8</v>
      </c>
      <c r="I477" s="17" t="n">
        <v>2.1</v>
      </c>
      <c r="J477" s="17" t="inlineStr">
        <is>
          <t>Boosters</t>
        </is>
      </c>
      <c r="K477" s="17" t="inlineStr">
        <is>
          <t>Exited Early</t>
        </is>
      </c>
      <c r="L477" s="17" t="inlineStr">
        <is>
          <t>Paid</t>
        </is>
      </c>
      <c r="M477" s="17" t="n">
        <v>44</v>
      </c>
      <c r="N477" s="17" t="inlineStr">
        <is>
          <t>No</t>
        </is>
      </c>
      <c r="O477" s="17">
        <f>TEXT(G477,"yyyy-mm")</f>
        <v/>
      </c>
      <c r="P477" s="17">
        <f>IF(H477&lt;20,"Low",IF(H477&lt;=60,"Medium","High"))</f>
        <v/>
      </c>
      <c r="Q477" s="17">
        <f>IF(I477&gt;0,"Yes","No")</f>
        <v/>
      </c>
      <c r="R477" s="17">
        <f>IF(N477="Yes",1,0)</f>
        <v/>
      </c>
      <c r="S477" s="17">
        <f>IF(N477=IF(OR(H477&gt;150,I477&gt;40),"Yes","No"),"Match","Mismatch")</f>
        <v/>
      </c>
    </row>
    <row r="478">
      <c r="A478" s="17" t="inlineStr">
        <is>
          <t>S00373</t>
        </is>
      </c>
      <c r="B478" s="17" t="inlineStr">
        <is>
          <t>P9993</t>
        </is>
      </c>
      <c r="C478" s="17" t="inlineStr">
        <is>
          <t>bharris</t>
        </is>
      </c>
      <c r="D478" s="17" t="inlineStr">
        <is>
          <t>SpeedX</t>
        </is>
      </c>
      <c r="E478" s="17" t="inlineStr">
        <is>
          <t>PC</t>
        </is>
      </c>
      <c r="F478" s="17" t="inlineStr">
        <is>
          <t>East</t>
        </is>
      </c>
      <c r="G478" s="18" t="n">
        <v>45811</v>
      </c>
      <c r="H478" s="17" t="n">
        <v>128</v>
      </c>
      <c r="I478" s="17" t="n">
        <v>0</v>
      </c>
      <c r="J478" s="17" t="inlineStr">
        <is>
          <t>No Purchase</t>
        </is>
      </c>
      <c r="K478" s="17" t="inlineStr">
        <is>
          <t>Completed</t>
        </is>
      </c>
      <c r="L478" s="17" t="inlineStr">
        <is>
          <t>Paid</t>
        </is>
      </c>
      <c r="M478" s="17" t="n">
        <v>29</v>
      </c>
      <c r="N478" s="17" t="inlineStr">
        <is>
          <t>No</t>
        </is>
      </c>
      <c r="O478" s="17">
        <f>TEXT(G478,"yyyy-mm")</f>
        <v/>
      </c>
      <c r="P478" s="17">
        <f>IF(H478&lt;20,"Low",IF(H478&lt;=60,"Medium","High"))</f>
        <v/>
      </c>
      <c r="Q478" s="17">
        <f>IF(I478&gt;0,"Yes","No")</f>
        <v/>
      </c>
      <c r="R478" s="17">
        <f>IF(N478="Yes",1,0)</f>
        <v/>
      </c>
      <c r="S478" s="17">
        <f>IF(N478=IF(OR(H478&gt;150,I478&gt;40),"Yes","No"),"Match","Mismatch")</f>
        <v/>
      </c>
    </row>
    <row r="479">
      <c r="A479" s="17" t="inlineStr">
        <is>
          <t>S00473</t>
        </is>
      </c>
      <c r="B479" s="17" t="inlineStr">
        <is>
          <t>P3023</t>
        </is>
      </c>
      <c r="C479" s="17" t="inlineStr">
        <is>
          <t>jonathonmayer</t>
        </is>
      </c>
      <c r="D479" s="17" t="inlineStr">
        <is>
          <t>BattleZone</t>
        </is>
      </c>
      <c r="E479" s="17" t="inlineStr">
        <is>
          <t>Mobile</t>
        </is>
      </c>
      <c r="F479" s="17" t="inlineStr">
        <is>
          <t>North-East</t>
        </is>
      </c>
      <c r="G479" s="18" t="n">
        <v>45811</v>
      </c>
      <c r="H479" s="17" t="n">
        <v>56</v>
      </c>
      <c r="I479" s="17" t="n">
        <v>0</v>
      </c>
      <c r="J479" s="17" t="inlineStr">
        <is>
          <t>No Purchase</t>
        </is>
      </c>
      <c r="K479" s="17" t="inlineStr">
        <is>
          <t>Completed</t>
        </is>
      </c>
      <c r="L479" s="17" t="inlineStr">
        <is>
          <t>Free</t>
        </is>
      </c>
      <c r="M479" s="17" t="n">
        <v>34</v>
      </c>
      <c r="N479" s="17" t="inlineStr">
        <is>
          <t>No</t>
        </is>
      </c>
      <c r="O479" s="17">
        <f>TEXT(G479,"yyyy-mm")</f>
        <v/>
      </c>
      <c r="P479" s="17">
        <f>IF(H479&lt;20,"Low",IF(H479&lt;=60,"Medium","High"))</f>
        <v/>
      </c>
      <c r="Q479" s="17">
        <f>IF(I479&gt;0,"Yes","No")</f>
        <v/>
      </c>
      <c r="R479" s="17">
        <f>IF(N479="Yes",1,0)</f>
        <v/>
      </c>
      <c r="S479" s="17">
        <f>IF(N479=IF(OR(H479&gt;150,I479&gt;40),"Yes","No"),"Match","Mismatch")</f>
        <v/>
      </c>
    </row>
    <row r="480">
      <c r="A480" s="17" t="inlineStr">
        <is>
          <t>S00293</t>
        </is>
      </c>
      <c r="B480" s="17" t="inlineStr">
        <is>
          <t>P6122</t>
        </is>
      </c>
      <c r="C480" s="17" t="inlineStr">
        <is>
          <t>browndenise</t>
        </is>
      </c>
      <c r="D480" s="17" t="inlineStr">
        <is>
          <t>Empire Wars</t>
        </is>
      </c>
      <c r="E480" s="17" t="inlineStr">
        <is>
          <t>Console</t>
        </is>
      </c>
      <c r="F480" s="17" t="inlineStr">
        <is>
          <t>East</t>
        </is>
      </c>
      <c r="G480" s="18" t="n">
        <v>45811</v>
      </c>
      <c r="H480" s="17" t="n">
        <v>9</v>
      </c>
      <c r="I480" s="17" t="n">
        <v>0</v>
      </c>
      <c r="J480" s="17" t="inlineStr">
        <is>
          <t>No Purchase</t>
        </is>
      </c>
      <c r="K480" s="17" t="inlineStr">
        <is>
          <t>Completed</t>
        </is>
      </c>
      <c r="L480" s="17" t="inlineStr">
        <is>
          <t>Free</t>
        </is>
      </c>
      <c r="M480" s="17" t="n">
        <v>10</v>
      </c>
      <c r="N480" s="17" t="inlineStr">
        <is>
          <t>No</t>
        </is>
      </c>
      <c r="O480" s="17">
        <f>TEXT(G480,"yyyy-mm")</f>
        <v/>
      </c>
      <c r="P480" s="17">
        <f>IF(H480&lt;20,"Low",IF(H480&lt;=60,"Medium","High"))</f>
        <v/>
      </c>
      <c r="Q480" s="17">
        <f>IF(I480&gt;0,"Yes","No")</f>
        <v/>
      </c>
      <c r="R480" s="17">
        <f>IF(N480="Yes",1,0)</f>
        <v/>
      </c>
      <c r="S480" s="17">
        <f>IF(N480=IF(OR(H480&gt;150,I480&gt;40),"Yes","No"),"Match","Mismatch")</f>
        <v/>
      </c>
    </row>
    <row r="481">
      <c r="A481" s="17" t="inlineStr">
        <is>
          <t>S00310</t>
        </is>
      </c>
      <c r="B481" s="17" t="inlineStr">
        <is>
          <t>P5092</t>
        </is>
      </c>
      <c r="C481" s="17" t="inlineStr">
        <is>
          <t>owenssherry</t>
        </is>
      </c>
      <c r="D481" s="17" t="inlineStr">
        <is>
          <t>Clash of Realms</t>
        </is>
      </c>
      <c r="E481" s="17" t="inlineStr">
        <is>
          <t>Console</t>
        </is>
      </c>
      <c r="F481" s="17" t="inlineStr">
        <is>
          <t>East</t>
        </is>
      </c>
      <c r="G481" s="18" t="n">
        <v>45812</v>
      </c>
      <c r="H481" s="17" t="n">
        <v>139</v>
      </c>
      <c r="I481" s="17" t="n">
        <v>0</v>
      </c>
      <c r="J481" s="17" t="inlineStr">
        <is>
          <t>No Purchase</t>
        </is>
      </c>
      <c r="K481" s="17" t="inlineStr">
        <is>
          <t>Completed</t>
        </is>
      </c>
      <c r="L481" s="17" t="inlineStr">
        <is>
          <t>Free</t>
        </is>
      </c>
      <c r="M481" s="17" t="n">
        <v>1</v>
      </c>
      <c r="N481" s="17" t="inlineStr">
        <is>
          <t>No</t>
        </is>
      </c>
      <c r="O481" s="17">
        <f>TEXT(G481,"yyyy-mm")</f>
        <v/>
      </c>
      <c r="P481" s="17">
        <f>IF(H481&lt;20,"Low",IF(H481&lt;=60,"Medium","High"))</f>
        <v/>
      </c>
      <c r="Q481" s="17">
        <f>IF(I481&gt;0,"Yes","No")</f>
        <v/>
      </c>
      <c r="R481" s="17">
        <f>IF(N481="Yes",1,0)</f>
        <v/>
      </c>
      <c r="S481" s="17">
        <f>IF(N481=IF(OR(H481&gt;150,I481&gt;40),"Yes","No"),"Match","Mismatch")</f>
        <v/>
      </c>
    </row>
    <row r="482">
      <c r="A482" s="17" t="inlineStr">
        <is>
          <t>S00387</t>
        </is>
      </c>
      <c r="B482" s="17" t="inlineStr">
        <is>
          <t>P2635</t>
        </is>
      </c>
      <c r="C482" s="17" t="inlineStr">
        <is>
          <t>carol86</t>
        </is>
      </c>
      <c r="D482" s="17" t="inlineStr">
        <is>
          <t>SpeedX</t>
        </is>
      </c>
      <c r="E482" s="17" t="inlineStr">
        <is>
          <t>Console</t>
        </is>
      </c>
      <c r="F482" s="17" t="inlineStr">
        <is>
          <t>North-East</t>
        </is>
      </c>
      <c r="G482" s="18" t="n">
        <v>45813</v>
      </c>
      <c r="H482" s="17" t="n">
        <v>6</v>
      </c>
      <c r="I482" s="17" t="n">
        <v>0</v>
      </c>
      <c r="J482" s="17" t="inlineStr">
        <is>
          <t>No Purchase</t>
        </is>
      </c>
      <c r="K482" s="17" t="inlineStr">
        <is>
          <t>Crashed</t>
        </is>
      </c>
      <c r="L482" s="17" t="inlineStr">
        <is>
          <t>Free</t>
        </is>
      </c>
      <c r="M482" s="17" t="n">
        <v>7</v>
      </c>
      <c r="N482" s="17" t="inlineStr">
        <is>
          <t>No</t>
        </is>
      </c>
      <c r="O482" s="17">
        <f>TEXT(G482,"yyyy-mm")</f>
        <v/>
      </c>
      <c r="P482" s="17">
        <f>IF(H482&lt;20,"Low",IF(H482&lt;=60,"Medium","High"))</f>
        <v/>
      </c>
      <c r="Q482" s="17">
        <f>IF(I482&gt;0,"Yes","No")</f>
        <v/>
      </c>
      <c r="R482" s="17">
        <f>IF(N482="Yes",1,0)</f>
        <v/>
      </c>
      <c r="S482" s="17">
        <f>IF(N482=IF(OR(H482&gt;150,I482&gt;40),"Yes","No"),"Match","Mismatch")</f>
        <v/>
      </c>
    </row>
    <row r="483">
      <c r="A483" s="17" t="inlineStr">
        <is>
          <t>S00129</t>
        </is>
      </c>
      <c r="B483" s="17" t="inlineStr">
        <is>
          <t>P8564</t>
        </is>
      </c>
      <c r="C483" s="17" t="inlineStr">
        <is>
          <t>wyattsanchez</t>
        </is>
      </c>
      <c r="D483" s="17" t="inlineStr">
        <is>
          <t>Zombie Rush</t>
        </is>
      </c>
      <c r="E483" s="17" t="inlineStr">
        <is>
          <t>PC</t>
        </is>
      </c>
      <c r="F483" s="17" t="inlineStr">
        <is>
          <t>South</t>
        </is>
      </c>
      <c r="G483" s="18" t="n">
        <v>45814</v>
      </c>
      <c r="H483" s="17" t="n">
        <v>54</v>
      </c>
      <c r="I483" s="17" t="n">
        <v>0</v>
      </c>
      <c r="J483" s="17" t="inlineStr">
        <is>
          <t>No Purchase</t>
        </is>
      </c>
      <c r="K483" s="17" t="inlineStr">
        <is>
          <t>Completed</t>
        </is>
      </c>
      <c r="L483" s="17" t="inlineStr">
        <is>
          <t>Free</t>
        </is>
      </c>
      <c r="M483" s="17" t="n">
        <v>15</v>
      </c>
      <c r="N483" s="17" t="inlineStr">
        <is>
          <t>No</t>
        </is>
      </c>
      <c r="O483" s="17">
        <f>TEXT(G483,"yyyy-mm")</f>
        <v/>
      </c>
      <c r="P483" s="17">
        <f>IF(H483&lt;20,"Low",IF(H483&lt;=60,"Medium","High"))</f>
        <v/>
      </c>
      <c r="Q483" s="17">
        <f>IF(I483&gt;0,"Yes","No")</f>
        <v/>
      </c>
      <c r="R483" s="17">
        <f>IF(N483="Yes",1,0)</f>
        <v/>
      </c>
      <c r="S483" s="17">
        <f>IF(N483=IF(OR(H483&gt;150,I483&gt;40),"Yes","No"),"Match","Mismatch")</f>
        <v/>
      </c>
    </row>
    <row r="484">
      <c r="A484" s="17" t="inlineStr">
        <is>
          <t>S00066</t>
        </is>
      </c>
      <c r="B484" s="17" t="inlineStr">
        <is>
          <t>P2499</t>
        </is>
      </c>
      <c r="C484" s="17" t="inlineStr">
        <is>
          <t>mbowen</t>
        </is>
      </c>
      <c r="D484" s="17" t="inlineStr">
        <is>
          <t>Empire Wars</t>
        </is>
      </c>
      <c r="E484" s="17" t="inlineStr">
        <is>
          <t>PC</t>
        </is>
      </c>
      <c r="F484" s="17" t="inlineStr">
        <is>
          <t>Central</t>
        </is>
      </c>
      <c r="G484" s="18" t="n">
        <v>45814</v>
      </c>
      <c r="H484" s="17" t="n">
        <v>152</v>
      </c>
      <c r="I484" s="17" t="n">
        <v>0</v>
      </c>
      <c r="J484" s="17" t="inlineStr">
        <is>
          <t>No Purchase</t>
        </is>
      </c>
      <c r="K484" s="17" t="inlineStr">
        <is>
          <t>Completed</t>
        </is>
      </c>
      <c r="L484" s="17" t="inlineStr">
        <is>
          <t>Free</t>
        </is>
      </c>
      <c r="M484" s="17" t="n">
        <v>21</v>
      </c>
      <c r="N484" s="17" t="inlineStr">
        <is>
          <t>Yes</t>
        </is>
      </c>
      <c r="O484" s="17">
        <f>TEXT(G484,"yyyy-mm")</f>
        <v/>
      </c>
      <c r="P484" s="17">
        <f>IF(H484&lt;20,"Low",IF(H484&lt;=60,"Medium","High"))</f>
        <v/>
      </c>
      <c r="Q484" s="17">
        <f>IF(I484&gt;0,"Yes","No")</f>
        <v/>
      </c>
      <c r="R484" s="17">
        <f>IF(N484="Yes",1,0)</f>
        <v/>
      </c>
      <c r="S484" s="17">
        <f>IF(N484=IF(OR(H484&gt;150,I484&gt;40),"Yes","No"),"Match","Mismatch")</f>
        <v/>
      </c>
    </row>
    <row r="485">
      <c r="A485" s="17" t="inlineStr">
        <is>
          <t>S00139</t>
        </is>
      </c>
      <c r="B485" s="17" t="inlineStr">
        <is>
          <t>P4544</t>
        </is>
      </c>
      <c r="C485" s="17" t="inlineStr">
        <is>
          <t>martinrobert</t>
        </is>
      </c>
      <c r="D485" s="17" t="inlineStr">
        <is>
          <t>Clash of Realms</t>
        </is>
      </c>
      <c r="E485" s="17" t="inlineStr">
        <is>
          <t>Console</t>
        </is>
      </c>
      <c r="F485" s="17" t="inlineStr">
        <is>
          <t>West</t>
        </is>
      </c>
      <c r="G485" s="18" t="n">
        <v>45814</v>
      </c>
      <c r="H485" s="17" t="n">
        <v>137</v>
      </c>
      <c r="I485" s="17" t="n">
        <v>0</v>
      </c>
      <c r="J485" s="17" t="inlineStr">
        <is>
          <t>No Purchase</t>
        </is>
      </c>
      <c r="K485" s="17" t="inlineStr">
        <is>
          <t>Incomplete</t>
        </is>
      </c>
      <c r="L485" s="17" t="inlineStr">
        <is>
          <t>Free</t>
        </is>
      </c>
      <c r="M485" s="17" t="n">
        <v>28</v>
      </c>
      <c r="N485" s="17" t="inlineStr">
        <is>
          <t>No</t>
        </is>
      </c>
      <c r="O485" s="17">
        <f>TEXT(G485,"yyyy-mm")</f>
        <v/>
      </c>
      <c r="P485" s="17">
        <f>IF(H485&lt;20,"Low",IF(H485&lt;=60,"Medium","High"))</f>
        <v/>
      </c>
      <c r="Q485" s="17">
        <f>IF(I485&gt;0,"Yes","No")</f>
        <v/>
      </c>
      <c r="R485" s="17">
        <f>IF(N485="Yes",1,0)</f>
        <v/>
      </c>
      <c r="S485" s="17">
        <f>IF(N485=IF(OR(H485&gt;150,I485&gt;40),"Yes","No"),"Match","Mismatch")</f>
        <v/>
      </c>
    </row>
    <row r="486">
      <c r="A486" s="17" t="inlineStr">
        <is>
          <t>S00055</t>
        </is>
      </c>
      <c r="B486" s="17" t="inlineStr">
        <is>
          <t>P4102</t>
        </is>
      </c>
      <c r="C486" s="17" t="inlineStr">
        <is>
          <t>odonnelljennifer</t>
        </is>
      </c>
      <c r="D486" s="17" t="inlineStr">
        <is>
          <t>BattleZone</t>
        </is>
      </c>
      <c r="E486" s="17" t="inlineStr">
        <is>
          <t>Mobile</t>
        </is>
      </c>
      <c r="F486" s="17" t="inlineStr">
        <is>
          <t>Central</t>
        </is>
      </c>
      <c r="G486" s="18" t="n">
        <v>45814</v>
      </c>
      <c r="H486" s="17" t="n">
        <v>20</v>
      </c>
      <c r="I486" s="17" t="n">
        <v>0</v>
      </c>
      <c r="J486" s="17" t="inlineStr">
        <is>
          <t>No Purchase</t>
        </is>
      </c>
      <c r="K486" s="17" t="inlineStr">
        <is>
          <t>Incomplete</t>
        </is>
      </c>
      <c r="L486" s="17" t="inlineStr">
        <is>
          <t>Free</t>
        </is>
      </c>
      <c r="M486" s="17" t="n">
        <v>49</v>
      </c>
      <c r="N486" s="17" t="inlineStr">
        <is>
          <t>No</t>
        </is>
      </c>
      <c r="O486" s="17">
        <f>TEXT(G486,"yyyy-mm")</f>
        <v/>
      </c>
      <c r="P486" s="17">
        <f>IF(H486&lt;20,"Low",IF(H486&lt;=60,"Medium","High"))</f>
        <v/>
      </c>
      <c r="Q486" s="17">
        <f>IF(I486&gt;0,"Yes","No")</f>
        <v/>
      </c>
      <c r="R486" s="17">
        <f>IF(N486="Yes",1,0)</f>
        <v/>
      </c>
      <c r="S486" s="17">
        <f>IF(N486=IF(OR(H486&gt;150,I486&gt;40),"Yes","No"),"Match","Mismatch")</f>
        <v/>
      </c>
    </row>
    <row r="487">
      <c r="A487" s="17" t="inlineStr">
        <is>
          <t>S00128</t>
        </is>
      </c>
      <c r="B487" s="17" t="inlineStr">
        <is>
          <t>P4959</t>
        </is>
      </c>
      <c r="C487" s="17" t="inlineStr">
        <is>
          <t>robert48</t>
        </is>
      </c>
      <c r="D487" s="17" t="inlineStr">
        <is>
          <t>BattleZone</t>
        </is>
      </c>
      <c r="E487" s="17" t="inlineStr">
        <is>
          <t>Mobile</t>
        </is>
      </c>
      <c r="F487" s="17" t="inlineStr">
        <is>
          <t>North-East</t>
        </is>
      </c>
      <c r="G487" s="18" t="n">
        <v>45815</v>
      </c>
      <c r="H487" s="17" t="n">
        <v>128</v>
      </c>
      <c r="I487" s="17" t="n">
        <v>0</v>
      </c>
      <c r="J487" s="17" t="inlineStr">
        <is>
          <t>No Purchase</t>
        </is>
      </c>
      <c r="K487" s="17" t="inlineStr">
        <is>
          <t>Crashed</t>
        </is>
      </c>
      <c r="L487" s="17" t="inlineStr">
        <is>
          <t>Free</t>
        </is>
      </c>
      <c r="M487" s="17" t="n">
        <v>32</v>
      </c>
      <c r="N487" s="17" t="inlineStr">
        <is>
          <t>No</t>
        </is>
      </c>
      <c r="O487" s="17">
        <f>TEXT(G487,"yyyy-mm")</f>
        <v/>
      </c>
      <c r="P487" s="17">
        <f>IF(H487&lt;20,"Low",IF(H487&lt;=60,"Medium","High"))</f>
        <v/>
      </c>
      <c r="Q487" s="17">
        <f>IF(I487&gt;0,"Yes","No")</f>
        <v/>
      </c>
      <c r="R487" s="17">
        <f>IF(N487="Yes",1,0)</f>
        <v/>
      </c>
      <c r="S487" s="17">
        <f>IF(N487=IF(OR(H487&gt;150,I487&gt;40),"Yes","No"),"Match","Mismatch")</f>
        <v/>
      </c>
    </row>
    <row r="488">
      <c r="A488" s="17" t="inlineStr">
        <is>
          <t>S00078</t>
        </is>
      </c>
      <c r="B488" s="17" t="inlineStr">
        <is>
          <t>P1662</t>
        </is>
      </c>
      <c r="C488" s="17" t="inlineStr">
        <is>
          <t>ehill</t>
        </is>
      </c>
      <c r="D488" s="17" t="inlineStr">
        <is>
          <t>SpeedX</t>
        </is>
      </c>
      <c r="E488" s="17" t="inlineStr">
        <is>
          <t>Console</t>
        </is>
      </c>
      <c r="F488" s="17" t="inlineStr">
        <is>
          <t>Central</t>
        </is>
      </c>
      <c r="G488" s="18" t="n">
        <v>45815</v>
      </c>
      <c r="H488" s="17" t="n">
        <v>28</v>
      </c>
      <c r="I488" s="17" t="n">
        <v>0</v>
      </c>
      <c r="J488" s="17" t="inlineStr">
        <is>
          <t>No Purchase</t>
        </is>
      </c>
      <c r="K488" s="17" t="inlineStr">
        <is>
          <t>Completed</t>
        </is>
      </c>
      <c r="L488" s="17" t="inlineStr">
        <is>
          <t>Free</t>
        </is>
      </c>
      <c r="M488" s="17" t="n">
        <v>4</v>
      </c>
      <c r="N488" s="17" t="inlineStr">
        <is>
          <t>No</t>
        </is>
      </c>
      <c r="O488" s="17">
        <f>TEXT(G488,"yyyy-mm")</f>
        <v/>
      </c>
      <c r="P488" s="17">
        <f>IF(H488&lt;20,"Low",IF(H488&lt;=60,"Medium","High"))</f>
        <v/>
      </c>
      <c r="Q488" s="17">
        <f>IF(I488&gt;0,"Yes","No")</f>
        <v/>
      </c>
      <c r="R488" s="17">
        <f>IF(N488="Yes",1,0)</f>
        <v/>
      </c>
      <c r="S488" s="17">
        <f>IF(N488=IF(OR(H488&gt;150,I488&gt;40),"Yes","No"),"Match","Mismatch")</f>
        <v/>
      </c>
    </row>
    <row r="489">
      <c r="A489" s="17" t="inlineStr">
        <is>
          <t>S00261</t>
        </is>
      </c>
      <c r="B489" s="17" t="inlineStr">
        <is>
          <t>P7483</t>
        </is>
      </c>
      <c r="C489" s="17" t="inlineStr">
        <is>
          <t>murrayaaron</t>
        </is>
      </c>
      <c r="D489" s="17" t="inlineStr">
        <is>
          <t>Zombie Rush</t>
        </is>
      </c>
      <c r="E489" s="17" t="inlineStr">
        <is>
          <t>Console</t>
        </is>
      </c>
      <c r="F489" s="17" t="inlineStr">
        <is>
          <t>East</t>
        </is>
      </c>
      <c r="G489" s="18" t="n">
        <v>45815</v>
      </c>
      <c r="H489" s="17" t="n">
        <v>144</v>
      </c>
      <c r="I489" s="17" t="n">
        <v>40.29</v>
      </c>
      <c r="J489" s="17" t="inlineStr">
        <is>
          <t>Subscriptions</t>
        </is>
      </c>
      <c r="K489" s="17" t="inlineStr">
        <is>
          <t>Exited Early</t>
        </is>
      </c>
      <c r="L489" s="17" t="inlineStr">
        <is>
          <t>Paid</t>
        </is>
      </c>
      <c r="M489" s="17" t="n">
        <v>1</v>
      </c>
      <c r="N489" s="17" t="inlineStr">
        <is>
          <t>Yes</t>
        </is>
      </c>
      <c r="O489" s="17">
        <f>TEXT(G489,"yyyy-mm")</f>
        <v/>
      </c>
      <c r="P489" s="17">
        <f>IF(H489&lt;20,"Low",IF(H489&lt;=60,"Medium","High"))</f>
        <v/>
      </c>
      <c r="Q489" s="17">
        <f>IF(I489&gt;0,"Yes","No")</f>
        <v/>
      </c>
      <c r="R489" s="17">
        <f>IF(N489="Yes",1,0)</f>
        <v/>
      </c>
      <c r="S489" s="17">
        <f>IF(N489=IF(OR(H489&gt;150,I489&gt;40),"Yes","No"),"Match","Mismatch")</f>
        <v/>
      </c>
    </row>
    <row r="490">
      <c r="A490" s="17" t="inlineStr">
        <is>
          <t>S00403</t>
        </is>
      </c>
      <c r="B490" s="17" t="inlineStr">
        <is>
          <t>P8982</t>
        </is>
      </c>
      <c r="C490" s="17" t="inlineStr">
        <is>
          <t>dominiquejohnson</t>
        </is>
      </c>
      <c r="D490" s="17" t="inlineStr">
        <is>
          <t>Empire Wars</t>
        </is>
      </c>
      <c r="E490" s="17" t="inlineStr">
        <is>
          <t>Mobile</t>
        </is>
      </c>
      <c r="F490" s="17" t="inlineStr">
        <is>
          <t>North-East</t>
        </is>
      </c>
      <c r="G490" s="18" t="n">
        <v>45816</v>
      </c>
      <c r="H490" s="17" t="n">
        <v>41</v>
      </c>
      <c r="I490" s="17" t="n">
        <v>24.14</v>
      </c>
      <c r="J490" s="17" t="inlineStr">
        <is>
          <t>Battle Pass</t>
        </is>
      </c>
      <c r="K490" s="17" t="inlineStr">
        <is>
          <t>Completed</t>
        </is>
      </c>
      <c r="L490" s="17" t="inlineStr">
        <is>
          <t>Paid</t>
        </is>
      </c>
      <c r="M490" s="17" t="n">
        <v>28</v>
      </c>
      <c r="N490" s="17" t="inlineStr">
        <is>
          <t>No</t>
        </is>
      </c>
      <c r="O490" s="17">
        <f>TEXT(G490,"yyyy-mm")</f>
        <v/>
      </c>
      <c r="P490" s="17">
        <f>IF(H490&lt;20,"Low",IF(H490&lt;=60,"Medium","High"))</f>
        <v/>
      </c>
      <c r="Q490" s="17">
        <f>IF(I490&gt;0,"Yes","No")</f>
        <v/>
      </c>
      <c r="R490" s="17">
        <f>IF(N490="Yes",1,0)</f>
        <v/>
      </c>
      <c r="S490" s="17">
        <f>IF(N490=IF(OR(H490&gt;150,I490&gt;40),"Yes","No"),"Match","Mismatch")</f>
        <v/>
      </c>
    </row>
    <row r="491">
      <c r="A491" s="17" t="inlineStr">
        <is>
          <t>S00170</t>
        </is>
      </c>
      <c r="B491" s="17" t="inlineStr">
        <is>
          <t>P1330</t>
        </is>
      </c>
      <c r="C491" s="17" t="inlineStr">
        <is>
          <t>weaverdaniel</t>
        </is>
      </c>
      <c r="D491" s="17" t="inlineStr">
        <is>
          <t>Zombie Rush</t>
        </is>
      </c>
      <c r="E491" s="17" t="inlineStr">
        <is>
          <t>PC</t>
        </is>
      </c>
      <c r="F491" s="17" t="inlineStr">
        <is>
          <t>West</t>
        </is>
      </c>
      <c r="G491" s="18" t="n">
        <v>45816</v>
      </c>
      <c r="H491" s="17" t="n">
        <v>168</v>
      </c>
      <c r="I491" s="17" t="n">
        <v>0</v>
      </c>
      <c r="J491" s="17" t="inlineStr">
        <is>
          <t>No Purchase</t>
        </is>
      </c>
      <c r="K491" s="17" t="inlineStr">
        <is>
          <t>Completed</t>
        </is>
      </c>
      <c r="L491" s="17" t="inlineStr">
        <is>
          <t>Free</t>
        </is>
      </c>
      <c r="M491" s="17" t="n">
        <v>18</v>
      </c>
      <c r="N491" s="17" t="inlineStr">
        <is>
          <t>Yes</t>
        </is>
      </c>
      <c r="O491" s="17">
        <f>TEXT(G491,"yyyy-mm")</f>
        <v/>
      </c>
      <c r="P491" s="17">
        <f>IF(H491&lt;20,"Low",IF(H491&lt;=60,"Medium","High"))</f>
        <v/>
      </c>
      <c r="Q491" s="17">
        <f>IF(I491&gt;0,"Yes","No")</f>
        <v/>
      </c>
      <c r="R491" s="17">
        <f>IF(N491="Yes",1,0)</f>
        <v/>
      </c>
      <c r="S491" s="17">
        <f>IF(N491=IF(OR(H491&gt;150,I491&gt;40),"Yes","No"),"Match","Mismatch")</f>
        <v/>
      </c>
    </row>
    <row r="492">
      <c r="A492" s="17" t="inlineStr">
        <is>
          <t>S00361</t>
        </is>
      </c>
      <c r="B492" s="17" t="inlineStr">
        <is>
          <t>P8648</t>
        </is>
      </c>
      <c r="C492" s="17" t="inlineStr">
        <is>
          <t>mfarley</t>
        </is>
      </c>
      <c r="D492" s="17" t="inlineStr">
        <is>
          <t>Zombie Rush</t>
        </is>
      </c>
      <c r="E492" s="17" t="inlineStr">
        <is>
          <t>Mobile</t>
        </is>
      </c>
      <c r="F492" s="17" t="inlineStr">
        <is>
          <t>North</t>
        </is>
      </c>
      <c r="G492" s="18" t="n">
        <v>45817</v>
      </c>
      <c r="H492" s="17" t="n">
        <v>18</v>
      </c>
      <c r="I492" s="17" t="n">
        <v>0</v>
      </c>
      <c r="J492" s="17" t="inlineStr">
        <is>
          <t>No Purchase</t>
        </is>
      </c>
      <c r="K492" s="17" t="inlineStr">
        <is>
          <t>Completed</t>
        </is>
      </c>
      <c r="L492" s="17" t="inlineStr">
        <is>
          <t>Free</t>
        </is>
      </c>
      <c r="M492" s="17" t="n">
        <v>16</v>
      </c>
      <c r="N492" s="17" t="inlineStr">
        <is>
          <t>No</t>
        </is>
      </c>
      <c r="O492" s="17">
        <f>TEXT(G492,"yyyy-mm")</f>
        <v/>
      </c>
      <c r="P492" s="17">
        <f>IF(H492&lt;20,"Low",IF(H492&lt;=60,"Medium","High"))</f>
        <v/>
      </c>
      <c r="Q492" s="17">
        <f>IF(I492&gt;0,"Yes","No")</f>
        <v/>
      </c>
      <c r="R492" s="17">
        <f>IF(N492="Yes",1,0)</f>
        <v/>
      </c>
      <c r="S492" s="17">
        <f>IF(N492=IF(OR(H492&gt;150,I492&gt;40),"Yes","No"),"Match","Mismatch")</f>
        <v/>
      </c>
    </row>
    <row r="493">
      <c r="A493" s="17" t="inlineStr">
        <is>
          <t>S00214</t>
        </is>
      </c>
      <c r="B493" s="17" t="inlineStr">
        <is>
          <t>P5369</t>
        </is>
      </c>
      <c r="C493" s="17" t="inlineStr">
        <is>
          <t>alexandermoore</t>
        </is>
      </c>
      <c r="D493" s="17" t="inlineStr">
        <is>
          <t>SpeedX</t>
        </is>
      </c>
      <c r="E493" s="17" t="inlineStr">
        <is>
          <t>Mobile</t>
        </is>
      </c>
      <c r="F493" s="17" t="inlineStr">
        <is>
          <t>West</t>
        </is>
      </c>
      <c r="G493" s="18" t="n">
        <v>45817</v>
      </c>
      <c r="H493" s="17" t="n">
        <v>93</v>
      </c>
      <c r="I493" s="17" t="n">
        <v>0</v>
      </c>
      <c r="J493" s="17" t="inlineStr">
        <is>
          <t>No Purchase</t>
        </is>
      </c>
      <c r="K493" s="17" t="inlineStr">
        <is>
          <t>Completed</t>
        </is>
      </c>
      <c r="L493" s="17" t="inlineStr">
        <is>
          <t>Free</t>
        </is>
      </c>
      <c r="M493" s="17" t="n">
        <v>21</v>
      </c>
      <c r="N493" s="17" t="inlineStr">
        <is>
          <t>No</t>
        </is>
      </c>
      <c r="O493" s="17">
        <f>TEXT(G493,"yyyy-mm")</f>
        <v/>
      </c>
      <c r="P493" s="17">
        <f>IF(H493&lt;20,"Low",IF(H493&lt;=60,"Medium","High"))</f>
        <v/>
      </c>
      <c r="Q493" s="17">
        <f>IF(I493&gt;0,"Yes","No")</f>
        <v/>
      </c>
      <c r="R493" s="17">
        <f>IF(N493="Yes",1,0)</f>
        <v/>
      </c>
      <c r="S493" s="17">
        <f>IF(N493=IF(OR(H493&gt;150,I493&gt;40),"Yes","No"),"Match","Mismatch")</f>
        <v/>
      </c>
    </row>
    <row r="494">
      <c r="A494" s="17" t="inlineStr">
        <is>
          <t>S00122</t>
        </is>
      </c>
      <c r="B494" s="17" t="inlineStr">
        <is>
          <t>P1992</t>
        </is>
      </c>
      <c r="C494" s="17" t="inlineStr">
        <is>
          <t>jennifer29</t>
        </is>
      </c>
      <c r="D494" s="17" t="inlineStr">
        <is>
          <t>SpeedX</t>
        </is>
      </c>
      <c r="E494" s="17" t="inlineStr">
        <is>
          <t>Console</t>
        </is>
      </c>
      <c r="F494" s="17" t="inlineStr">
        <is>
          <t>Central</t>
        </is>
      </c>
      <c r="G494" s="18" t="n">
        <v>45817</v>
      </c>
      <c r="H494" s="17" t="n">
        <v>56</v>
      </c>
      <c r="I494" s="17" t="n">
        <v>4.07</v>
      </c>
      <c r="J494" s="17" t="inlineStr">
        <is>
          <t>Subscriptions</t>
        </is>
      </c>
      <c r="K494" s="17" t="inlineStr">
        <is>
          <t>Completed</t>
        </is>
      </c>
      <c r="L494" s="17" t="inlineStr">
        <is>
          <t>Paid</t>
        </is>
      </c>
      <c r="M494" s="17" t="n">
        <v>45</v>
      </c>
      <c r="N494" s="17" t="inlineStr">
        <is>
          <t>No</t>
        </is>
      </c>
      <c r="O494" s="17">
        <f>TEXT(G494,"yyyy-mm")</f>
        <v/>
      </c>
      <c r="P494" s="17">
        <f>IF(H494&lt;20,"Low",IF(H494&lt;=60,"Medium","High"))</f>
        <v/>
      </c>
      <c r="Q494" s="17">
        <f>IF(I494&gt;0,"Yes","No")</f>
        <v/>
      </c>
      <c r="R494" s="17">
        <f>IF(N494="Yes",1,0)</f>
        <v/>
      </c>
      <c r="S494" s="17">
        <f>IF(N494=IF(OR(H494&gt;150,I494&gt;40),"Yes","No"),"Match","Mismatch")</f>
        <v/>
      </c>
    </row>
    <row r="495">
      <c r="A495" s="17" t="inlineStr">
        <is>
          <t>S00076</t>
        </is>
      </c>
      <c r="B495" s="17" t="inlineStr">
        <is>
          <t>P1269</t>
        </is>
      </c>
      <c r="C495" s="17" t="inlineStr">
        <is>
          <t>bryantdawn</t>
        </is>
      </c>
      <c r="D495" s="17" t="inlineStr">
        <is>
          <t>SpeedX</t>
        </is>
      </c>
      <c r="E495" s="17" t="inlineStr">
        <is>
          <t>PC</t>
        </is>
      </c>
      <c r="F495" s="17" t="inlineStr">
        <is>
          <t>East</t>
        </is>
      </c>
      <c r="G495" s="18" t="n">
        <v>45817</v>
      </c>
      <c r="H495" s="17" t="n">
        <v>33</v>
      </c>
      <c r="I495" s="17" t="n">
        <v>16.41</v>
      </c>
      <c r="J495" s="17" t="inlineStr">
        <is>
          <t>Boosters</t>
        </is>
      </c>
      <c r="K495" s="17" t="inlineStr">
        <is>
          <t>Incomplete</t>
        </is>
      </c>
      <c r="L495" s="17" t="inlineStr">
        <is>
          <t>Paid</t>
        </is>
      </c>
      <c r="M495" s="17" t="n">
        <v>30</v>
      </c>
      <c r="N495" s="17" t="inlineStr">
        <is>
          <t>No</t>
        </is>
      </c>
      <c r="O495" s="17">
        <f>TEXT(G495,"yyyy-mm")</f>
        <v/>
      </c>
      <c r="P495" s="17">
        <f>IF(H495&lt;20,"Low",IF(H495&lt;=60,"Medium","High"))</f>
        <v/>
      </c>
      <c r="Q495" s="17">
        <f>IF(I495&gt;0,"Yes","No")</f>
        <v/>
      </c>
      <c r="R495" s="17">
        <f>IF(N495="Yes",1,0)</f>
        <v/>
      </c>
      <c r="S495" s="17">
        <f>IF(N495=IF(OR(H495&gt;150,I495&gt;40),"Yes","No"),"Match","Mismatch")</f>
        <v/>
      </c>
    </row>
    <row r="496">
      <c r="A496" s="17" t="inlineStr">
        <is>
          <t>S00064</t>
        </is>
      </c>
      <c r="B496" s="17" t="inlineStr">
        <is>
          <t>P6094</t>
        </is>
      </c>
      <c r="C496" s="17" t="inlineStr">
        <is>
          <t>jenniferarnold</t>
        </is>
      </c>
      <c r="D496" s="17" t="inlineStr">
        <is>
          <t>Zombie Rush</t>
        </is>
      </c>
      <c r="E496" s="17" t="inlineStr">
        <is>
          <t>PC</t>
        </is>
      </c>
      <c r="F496" s="17" t="inlineStr">
        <is>
          <t>South</t>
        </is>
      </c>
      <c r="G496" s="18" t="n">
        <v>45818</v>
      </c>
      <c r="H496" s="17" t="n">
        <v>81</v>
      </c>
      <c r="I496" s="17" t="n">
        <v>10.1</v>
      </c>
      <c r="J496" s="17" t="inlineStr">
        <is>
          <t>Subscriptions</t>
        </is>
      </c>
      <c r="K496" s="17" t="inlineStr">
        <is>
          <t>Crashed</t>
        </is>
      </c>
      <c r="L496" s="17" t="inlineStr">
        <is>
          <t>Paid</t>
        </is>
      </c>
      <c r="M496" s="17" t="n">
        <v>24</v>
      </c>
      <c r="N496" s="17" t="inlineStr">
        <is>
          <t>No</t>
        </is>
      </c>
      <c r="O496" s="17">
        <f>TEXT(G496,"yyyy-mm")</f>
        <v/>
      </c>
      <c r="P496" s="17">
        <f>IF(H496&lt;20,"Low",IF(H496&lt;=60,"Medium","High"))</f>
        <v/>
      </c>
      <c r="Q496" s="17">
        <f>IF(I496&gt;0,"Yes","No")</f>
        <v/>
      </c>
      <c r="R496" s="17">
        <f>IF(N496="Yes",1,0)</f>
        <v/>
      </c>
      <c r="S496" s="17">
        <f>IF(N496=IF(OR(H496&gt;150,I496&gt;40),"Yes","No"),"Match","Mismatch")</f>
        <v/>
      </c>
    </row>
    <row r="497">
      <c r="A497" s="17" t="inlineStr">
        <is>
          <t>S00030</t>
        </is>
      </c>
      <c r="B497" s="17" t="inlineStr">
        <is>
          <t>P4408</t>
        </is>
      </c>
      <c r="C497" s="17" t="inlineStr">
        <is>
          <t>dlee</t>
        </is>
      </c>
      <c r="D497" s="17" t="inlineStr">
        <is>
          <t>SpeedX</t>
        </is>
      </c>
      <c r="E497" s="17" t="inlineStr">
        <is>
          <t>Mobile</t>
        </is>
      </c>
      <c r="F497" s="17" t="inlineStr">
        <is>
          <t>South</t>
        </is>
      </c>
      <c r="G497" s="18" t="n">
        <v>45818</v>
      </c>
      <c r="H497" s="17" t="n">
        <v>135</v>
      </c>
      <c r="I497" s="17" t="n">
        <v>0</v>
      </c>
      <c r="J497" s="17" t="inlineStr">
        <is>
          <t>No Purchase</t>
        </is>
      </c>
      <c r="K497" s="17" t="inlineStr">
        <is>
          <t>Completed</t>
        </is>
      </c>
      <c r="L497" s="17" t="inlineStr">
        <is>
          <t>Free</t>
        </is>
      </c>
      <c r="M497" s="17" t="n">
        <v>12</v>
      </c>
      <c r="N497" s="17" t="inlineStr">
        <is>
          <t>No</t>
        </is>
      </c>
      <c r="O497" s="17">
        <f>TEXT(G497,"yyyy-mm")</f>
        <v/>
      </c>
      <c r="P497" s="17">
        <f>IF(H497&lt;20,"Low",IF(H497&lt;=60,"Medium","High"))</f>
        <v/>
      </c>
      <c r="Q497" s="17">
        <f>IF(I497&gt;0,"Yes","No")</f>
        <v/>
      </c>
      <c r="R497" s="17">
        <f>IF(N497="Yes",1,0)</f>
        <v/>
      </c>
      <c r="S497" s="17">
        <f>IF(N497=IF(OR(H497&gt;150,I497&gt;40),"Yes","No"),"Match","Mismatch")</f>
        <v/>
      </c>
    </row>
    <row r="498">
      <c r="A498" s="17" t="inlineStr">
        <is>
          <t>S00109</t>
        </is>
      </c>
      <c r="B498" s="17" t="inlineStr">
        <is>
          <t>P2082</t>
        </is>
      </c>
      <c r="C498" s="17" t="inlineStr">
        <is>
          <t>awise</t>
        </is>
      </c>
      <c r="D498" s="17" t="inlineStr">
        <is>
          <t>Empire Wars</t>
        </is>
      </c>
      <c r="E498" s="17" t="inlineStr">
        <is>
          <t>PC</t>
        </is>
      </c>
      <c r="F498" s="17" t="inlineStr">
        <is>
          <t>North-East</t>
        </is>
      </c>
      <c r="G498" s="18" t="n">
        <v>45819</v>
      </c>
      <c r="H498" s="17" t="n">
        <v>153</v>
      </c>
      <c r="I498" s="17" t="n">
        <v>0</v>
      </c>
      <c r="J498" s="17" t="inlineStr">
        <is>
          <t>No Purchase</t>
        </is>
      </c>
      <c r="K498" s="17" t="inlineStr">
        <is>
          <t>Completed</t>
        </is>
      </c>
      <c r="L498" s="17" t="inlineStr">
        <is>
          <t>Free</t>
        </is>
      </c>
      <c r="M498" s="17" t="n">
        <v>48</v>
      </c>
      <c r="N498" s="17" t="inlineStr">
        <is>
          <t>Yes</t>
        </is>
      </c>
      <c r="O498" s="17">
        <f>TEXT(G498,"yyyy-mm")</f>
        <v/>
      </c>
      <c r="P498" s="17">
        <f>IF(H498&lt;20,"Low",IF(H498&lt;=60,"Medium","High"))</f>
        <v/>
      </c>
      <c r="Q498" s="17">
        <f>IF(I498&gt;0,"Yes","No")</f>
        <v/>
      </c>
      <c r="R498" s="17">
        <f>IF(N498="Yes",1,0)</f>
        <v/>
      </c>
      <c r="S498" s="17">
        <f>IF(N498=IF(OR(H498&gt;150,I498&gt;40),"Yes","No"),"Match","Mismatch")</f>
        <v/>
      </c>
    </row>
    <row r="499">
      <c r="A499" s="17" t="inlineStr">
        <is>
          <t>S00362</t>
        </is>
      </c>
      <c r="B499" s="17" t="inlineStr">
        <is>
          <t>P3956</t>
        </is>
      </c>
      <c r="C499" s="17" t="inlineStr">
        <is>
          <t>ruizkimberly</t>
        </is>
      </c>
      <c r="D499" s="17" t="inlineStr">
        <is>
          <t>SpeedX</t>
        </is>
      </c>
      <c r="E499" s="17" t="inlineStr">
        <is>
          <t>Mobile</t>
        </is>
      </c>
      <c r="F499" s="17" t="inlineStr">
        <is>
          <t>Central</t>
        </is>
      </c>
      <c r="G499" s="18" t="n">
        <v>45819</v>
      </c>
      <c r="H499" s="17" t="n">
        <v>73</v>
      </c>
      <c r="I499" s="17" t="n">
        <v>0</v>
      </c>
      <c r="J499" s="17" t="inlineStr">
        <is>
          <t>No Purchase</t>
        </is>
      </c>
      <c r="K499" s="17" t="inlineStr">
        <is>
          <t>Completed</t>
        </is>
      </c>
      <c r="L499" s="17" t="inlineStr">
        <is>
          <t>Free</t>
        </is>
      </c>
      <c r="M499" s="17" t="n">
        <v>11</v>
      </c>
      <c r="N499" s="17" t="inlineStr">
        <is>
          <t>No</t>
        </is>
      </c>
      <c r="O499" s="17">
        <f>TEXT(G499,"yyyy-mm")</f>
        <v/>
      </c>
      <c r="P499" s="17">
        <f>IF(H499&lt;20,"Low",IF(H499&lt;=60,"Medium","High"))</f>
        <v/>
      </c>
      <c r="Q499" s="17">
        <f>IF(I499&gt;0,"Yes","No")</f>
        <v/>
      </c>
      <c r="R499" s="17">
        <f>IF(N499="Yes",1,0)</f>
        <v/>
      </c>
      <c r="S499" s="17">
        <f>IF(N499=IF(OR(H499&gt;150,I499&gt;40),"Yes","No"),"Match","Mismatch")</f>
        <v/>
      </c>
    </row>
    <row r="500">
      <c r="A500" s="17" t="inlineStr">
        <is>
          <t>S00125</t>
        </is>
      </c>
      <c r="B500" s="17" t="inlineStr">
        <is>
          <t>P9017</t>
        </is>
      </c>
      <c r="C500" s="17" t="inlineStr">
        <is>
          <t>albertkelly</t>
        </is>
      </c>
      <c r="D500" s="17" t="inlineStr">
        <is>
          <t>Zombie Rush</t>
        </is>
      </c>
      <c r="E500" s="17" t="inlineStr">
        <is>
          <t>PC</t>
        </is>
      </c>
      <c r="F500" s="17" t="inlineStr">
        <is>
          <t>South</t>
        </is>
      </c>
      <c r="G500" s="18" t="n">
        <v>45819</v>
      </c>
      <c r="H500" s="17" t="n">
        <v>172</v>
      </c>
      <c r="I500" s="17" t="n">
        <v>0</v>
      </c>
      <c r="J500" s="17" t="inlineStr">
        <is>
          <t>No Purchase</t>
        </is>
      </c>
      <c r="K500" s="17" t="inlineStr">
        <is>
          <t>Exited Early</t>
        </is>
      </c>
      <c r="L500" s="17" t="inlineStr">
        <is>
          <t>Free</t>
        </is>
      </c>
      <c r="M500" s="17" t="n">
        <v>21</v>
      </c>
      <c r="N500" s="17" t="inlineStr">
        <is>
          <t>Yes</t>
        </is>
      </c>
      <c r="O500" s="17">
        <f>TEXT(G500,"yyyy-mm")</f>
        <v/>
      </c>
      <c r="P500" s="17">
        <f>IF(H500&lt;20,"Low",IF(H500&lt;=60,"Medium","High"))</f>
        <v/>
      </c>
      <c r="Q500" s="17">
        <f>IF(I500&gt;0,"Yes","No")</f>
        <v/>
      </c>
      <c r="R500" s="17">
        <f>IF(N500="Yes",1,0)</f>
        <v/>
      </c>
      <c r="S500" s="17">
        <f>IF(N500=IF(OR(H500&gt;150,I500&gt;40),"Yes","No"),"Match","Mismatch")</f>
        <v/>
      </c>
    </row>
    <row r="501">
      <c r="A501" s="17" t="inlineStr">
        <is>
          <t>S00071</t>
        </is>
      </c>
      <c r="B501" s="17" t="inlineStr">
        <is>
          <t>P8019</t>
        </is>
      </c>
      <c r="C501" s="17" t="inlineStr">
        <is>
          <t>nwatkins</t>
        </is>
      </c>
      <c r="D501" s="17" t="inlineStr">
        <is>
          <t>Empire Wars</t>
        </is>
      </c>
      <c r="E501" s="17" t="inlineStr">
        <is>
          <t>PC</t>
        </is>
      </c>
      <c r="F501" s="17" t="inlineStr">
        <is>
          <t>Central</t>
        </is>
      </c>
      <c r="G501" s="18" t="n">
        <v>45820</v>
      </c>
      <c r="H501" s="17" t="n">
        <v>81</v>
      </c>
      <c r="I501" s="17" t="n">
        <v>0</v>
      </c>
      <c r="J501" s="17" t="inlineStr">
        <is>
          <t>No Purchase</t>
        </is>
      </c>
      <c r="K501" s="17" t="inlineStr">
        <is>
          <t>Exited Early</t>
        </is>
      </c>
      <c r="L501" s="17" t="inlineStr">
        <is>
          <t>Free</t>
        </is>
      </c>
      <c r="M501" s="17" t="n">
        <v>37</v>
      </c>
      <c r="N501" s="17" t="inlineStr">
        <is>
          <t>No</t>
        </is>
      </c>
      <c r="O501" s="17">
        <f>TEXT(G501,"yyyy-mm")</f>
        <v/>
      </c>
      <c r="P501" s="17">
        <f>IF(H501&lt;20,"Low",IF(H501&lt;=60,"Medium","High"))</f>
        <v/>
      </c>
      <c r="Q501" s="17">
        <f>IF(I501&gt;0,"Yes","No")</f>
        <v/>
      </c>
      <c r="R501" s="17">
        <f>IF(N501="Yes",1,0)</f>
        <v/>
      </c>
      <c r="S501" s="17">
        <f>IF(N501=IF(OR(H501&gt;150,I501&gt;40),"Yes","No"),"Match","Mismatch")</f>
        <v/>
      </c>
    </row>
    <row r="502">
      <c r="A502" s="17" t="inlineStr">
        <is>
          <t>S00004</t>
        </is>
      </c>
      <c r="B502" s="17" t="inlineStr">
        <is>
          <t>P2930</t>
        </is>
      </c>
      <c r="C502" s="17" t="inlineStr">
        <is>
          <t>isaac85</t>
        </is>
      </c>
      <c r="D502" s="17" t="inlineStr">
        <is>
          <t>Clash of Realms</t>
        </is>
      </c>
      <c r="E502" s="17" t="inlineStr">
        <is>
          <t>Mobile</t>
        </is>
      </c>
      <c r="F502" s="17" t="inlineStr">
        <is>
          <t>Central</t>
        </is>
      </c>
      <c r="G502" s="18" t="n">
        <v>45820</v>
      </c>
      <c r="H502" s="17" t="n">
        <v>153</v>
      </c>
      <c r="I502" s="17" t="n">
        <v>0</v>
      </c>
      <c r="J502" s="17" t="inlineStr">
        <is>
          <t>No Purchase</t>
        </is>
      </c>
      <c r="K502" s="17" t="inlineStr">
        <is>
          <t>Completed</t>
        </is>
      </c>
      <c r="L502" s="17" t="inlineStr">
        <is>
          <t>Free</t>
        </is>
      </c>
      <c r="M502" s="17" t="n">
        <v>18</v>
      </c>
      <c r="N502" s="17" t="inlineStr">
        <is>
          <t>Yes</t>
        </is>
      </c>
      <c r="O502" s="17">
        <f>TEXT(G502,"yyyy-mm")</f>
        <v/>
      </c>
      <c r="P502" s="17">
        <f>IF(H502&lt;20,"Low",IF(H502&lt;=60,"Medium","High"))</f>
        <v/>
      </c>
      <c r="Q502" s="17">
        <f>IF(I502&gt;0,"Yes","No")</f>
        <v/>
      </c>
      <c r="R502" s="17">
        <f>IF(N502="Yes",1,0)</f>
        <v/>
      </c>
      <c r="S502" s="17">
        <f>IF(N502=IF(OR(H502&gt;150,I502&gt;40),"Yes","No"),"Match","Mismatch")</f>
        <v/>
      </c>
    </row>
    <row r="503">
      <c r="A503" s="17" t="inlineStr">
        <is>
          <t>S00488</t>
        </is>
      </c>
      <c r="B503" s="17" t="inlineStr">
        <is>
          <t>P1977</t>
        </is>
      </c>
      <c r="C503" s="17" t="inlineStr">
        <is>
          <t>mckinneychristopher</t>
        </is>
      </c>
      <c r="D503" s="17" t="inlineStr">
        <is>
          <t>SpeedX</t>
        </is>
      </c>
      <c r="E503" s="17" t="inlineStr">
        <is>
          <t>Mobile</t>
        </is>
      </c>
      <c r="F503" s="17" t="inlineStr">
        <is>
          <t>East</t>
        </is>
      </c>
      <c r="G503" s="18" t="n">
        <v>45821</v>
      </c>
      <c r="H503" s="17" t="n">
        <v>11</v>
      </c>
      <c r="I503" s="17" t="n">
        <v>20.66</v>
      </c>
      <c r="J503" s="17" t="inlineStr">
        <is>
          <t>Battle Pass</t>
        </is>
      </c>
      <c r="K503" s="17" t="inlineStr">
        <is>
          <t>Completed</t>
        </is>
      </c>
      <c r="L503" s="17" t="inlineStr">
        <is>
          <t>Paid</t>
        </is>
      </c>
      <c r="M503" s="17" t="n">
        <v>40</v>
      </c>
      <c r="N503" s="17" t="inlineStr">
        <is>
          <t>No</t>
        </is>
      </c>
      <c r="O503" s="17">
        <f>TEXT(G503,"yyyy-mm")</f>
        <v/>
      </c>
      <c r="P503" s="17">
        <f>IF(H503&lt;20,"Low",IF(H503&lt;=60,"Medium","High"))</f>
        <v/>
      </c>
      <c r="Q503" s="17">
        <f>IF(I503&gt;0,"Yes","No")</f>
        <v/>
      </c>
      <c r="R503" s="17">
        <f>IF(N503="Yes",1,0)</f>
        <v/>
      </c>
      <c r="S503" s="17">
        <f>IF(N503=IF(OR(H503&gt;150,I503&gt;40),"Yes","No"),"Match","Mismatch")</f>
        <v/>
      </c>
    </row>
    <row r="504">
      <c r="A504" s="17" t="inlineStr">
        <is>
          <t>S00429</t>
        </is>
      </c>
      <c r="B504" s="17" t="inlineStr">
        <is>
          <t>P4908</t>
        </is>
      </c>
      <c r="C504" s="17" t="inlineStr">
        <is>
          <t>twashington</t>
        </is>
      </c>
      <c r="D504" s="17" t="inlineStr">
        <is>
          <t>Empire Wars</t>
        </is>
      </c>
      <c r="E504" s="17" t="inlineStr">
        <is>
          <t>PC</t>
        </is>
      </c>
      <c r="F504" s="17" t="inlineStr">
        <is>
          <t>East</t>
        </is>
      </c>
      <c r="G504" s="18" t="n">
        <v>45821</v>
      </c>
      <c r="H504" s="17" t="n">
        <v>70</v>
      </c>
      <c r="I504" s="17" t="n">
        <v>11.82</v>
      </c>
      <c r="J504" s="17" t="inlineStr">
        <is>
          <t>Battle Pass</t>
        </is>
      </c>
      <c r="K504" s="17" t="inlineStr">
        <is>
          <t>Completed</t>
        </is>
      </c>
      <c r="L504" s="17" t="inlineStr">
        <is>
          <t>Paid</t>
        </is>
      </c>
      <c r="M504" s="17" t="n">
        <v>5</v>
      </c>
      <c r="N504" s="17" t="inlineStr">
        <is>
          <t>No</t>
        </is>
      </c>
      <c r="O504" s="17">
        <f>TEXT(G504,"yyyy-mm")</f>
        <v/>
      </c>
      <c r="P504" s="17">
        <f>IF(H504&lt;20,"Low",IF(H504&lt;=60,"Medium","High"))</f>
        <v/>
      </c>
      <c r="Q504" s="17">
        <f>IF(I504&gt;0,"Yes","No")</f>
        <v/>
      </c>
      <c r="R504" s="17">
        <f>IF(N504="Yes",1,0)</f>
        <v/>
      </c>
      <c r="S504" s="17">
        <f>IF(N504=IF(OR(H504&gt;150,I504&gt;40),"Yes","No"),"Match","Mismatch")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zoomScaleNormal="100" workbookViewId="0">
      <selection activeCell="G4" sqref="G4"/>
    </sheetView>
  </sheetViews>
  <sheetFormatPr baseColWidth="8" defaultColWidth="8.7109375" defaultRowHeight="15"/>
  <cols>
    <col width="20" customWidth="1" style="26" min="1" max="5"/>
  </cols>
  <sheetData>
    <row r="1" ht="17.45" customHeight="1" s="26">
      <c r="A1" s="27" t="inlineStr">
        <is>
          <t>KPI SUMMARY TABLES (live SUMIFS / COUNTIFS / AVERAGEIFS formulas over CleanedData)</t>
        </is>
      </c>
    </row>
    <row r="3">
      <c r="A3" s="19" t="inlineStr">
        <is>
          <t>1. Regional Gameplay Volume, Revenue &amp; Suspicious Sessions</t>
        </is>
      </c>
    </row>
    <row r="4">
      <c r="A4" s="20" t="inlineStr">
        <is>
          <t>Region</t>
        </is>
      </c>
      <c r="B4" s="20" t="inlineStr">
        <is>
          <t>Sessions</t>
        </is>
      </c>
      <c r="C4" s="20" t="inlineStr">
        <is>
          <t>Revenue ($)</t>
        </is>
      </c>
      <c r="D4" s="20" t="inlineStr">
        <is>
          <t>Suspicious Sessions</t>
        </is>
      </c>
    </row>
    <row r="5">
      <c r="A5" s="24" t="inlineStr">
        <is>
          <t>Central</t>
        </is>
      </c>
      <c r="B5" s="24">
        <f>COUNTIFS(CleanedData[Region],"Central")</f>
        <v/>
      </c>
      <c r="C5" s="24">
        <f>ROUND(SUMIFS(CleanedData[In-Game Purchase ($)],CleanedData[Region],"Central"),2)</f>
        <v/>
      </c>
      <c r="D5" s="24">
        <f>SUMIFS(CleanedData[Suspicious Flag],CleanedData[Region],"Central")</f>
        <v/>
      </c>
    </row>
    <row r="6">
      <c r="A6" s="24" t="inlineStr">
        <is>
          <t>East</t>
        </is>
      </c>
      <c r="B6" s="24">
        <f>COUNTIFS(CleanedData[Region],"East")</f>
        <v/>
      </c>
      <c r="C6" s="24">
        <f>ROUND(SUMIFS(CleanedData[In-Game Purchase ($)],CleanedData[Region],"East"),2)</f>
        <v/>
      </c>
      <c r="D6" s="24">
        <f>SUMIFS(CleanedData[Suspicious Flag],CleanedData[Region],"East")</f>
        <v/>
      </c>
    </row>
    <row r="7">
      <c r="A7" s="24" t="inlineStr">
        <is>
          <t>North</t>
        </is>
      </c>
      <c r="B7" s="24">
        <f>COUNTIFS(CleanedData[Region],"North")</f>
        <v/>
      </c>
      <c r="C7" s="24">
        <f>ROUND(SUMIFS(CleanedData[In-Game Purchase ($)],CleanedData[Region],"North"),2)</f>
        <v/>
      </c>
      <c r="D7" s="24">
        <f>SUMIFS(CleanedData[Suspicious Flag],CleanedData[Region],"North")</f>
        <v/>
      </c>
    </row>
    <row r="8">
      <c r="A8" s="24" t="inlineStr">
        <is>
          <t>North-East</t>
        </is>
      </c>
      <c r="B8" s="24">
        <f>COUNTIFS(CleanedData[Region],"North-East")</f>
        <v/>
      </c>
      <c r="C8" s="24">
        <f>ROUND(SUMIFS(CleanedData[In-Game Purchase ($)],CleanedData[Region],"North-East"),2)</f>
        <v/>
      </c>
      <c r="D8" s="24">
        <f>SUMIFS(CleanedData[Suspicious Flag],CleanedData[Region],"North-East")</f>
        <v/>
      </c>
    </row>
    <row r="9">
      <c r="A9" s="24" t="inlineStr">
        <is>
          <t>South</t>
        </is>
      </c>
      <c r="B9" s="24">
        <f>COUNTIFS(CleanedData[Region],"South")</f>
        <v/>
      </c>
      <c r="C9" s="24">
        <f>ROUND(SUMIFS(CleanedData[In-Game Purchase ($)],CleanedData[Region],"South"),2)</f>
        <v/>
      </c>
      <c r="D9" s="24">
        <f>SUMIFS(CleanedData[Suspicious Flag],CleanedData[Region],"South")</f>
        <v/>
      </c>
    </row>
    <row r="10">
      <c r="A10" s="24" t="inlineStr">
        <is>
          <t>West</t>
        </is>
      </c>
      <c r="B10" s="24">
        <f>COUNTIFS(CleanedData[Region],"West")</f>
        <v/>
      </c>
      <c r="C10" s="24">
        <f>ROUND(SUMIFS(CleanedData[In-Game Purchase ($)],CleanedData[Region],"West"),2)</f>
        <v/>
      </c>
      <c r="D10" s="24">
        <f>SUMIFS(CleanedData[Suspicious Flag],CleanedData[Region],"West")</f>
        <v/>
      </c>
    </row>
    <row r="13">
      <c r="A13" s="19" t="inlineStr">
        <is>
          <t>2. Monthly Trend — Sessions, Purchases &amp; Suspicious Activity</t>
        </is>
      </c>
    </row>
    <row r="14">
      <c r="A14" s="20" t="inlineStr">
        <is>
          <t>Year-Month</t>
        </is>
      </c>
      <c r="B14" s="20" t="inlineStr">
        <is>
          <t>Sessions</t>
        </is>
      </c>
      <c r="C14" s="20" t="inlineStr">
        <is>
          <t>Purchases ($)</t>
        </is>
      </c>
      <c r="D14" s="20" t="inlineStr">
        <is>
          <t>Suspicious Sessions</t>
        </is>
      </c>
    </row>
    <row r="15">
      <c r="A15" s="24" t="inlineStr">
        <is>
          <t>2024-12</t>
        </is>
      </c>
      <c r="B15" s="24">
        <f>COUNTIFS(CleanedData[Year-Month],"2024-12")</f>
        <v/>
      </c>
      <c r="C15" s="24">
        <f>ROUND(SUMIFS(CleanedData[In-Game Purchase ($)],CleanedData[Year-Month],"2024-12"),2)</f>
        <v/>
      </c>
      <c r="D15" s="24">
        <f>SUMIFS(CleanedData[Suspicious Flag],CleanedData[Year-Month],"2024-12")</f>
        <v/>
      </c>
    </row>
    <row r="16">
      <c r="A16" s="24" t="inlineStr">
        <is>
          <t>2025-01</t>
        </is>
      </c>
      <c r="B16" s="24">
        <f>COUNTIFS(CleanedData[Year-Month],"2025-01")</f>
        <v/>
      </c>
      <c r="C16" s="24">
        <f>ROUND(SUMIFS(CleanedData[In-Game Purchase ($)],CleanedData[Year-Month],"2025-01"),2)</f>
        <v/>
      </c>
      <c r="D16" s="24">
        <f>SUMIFS(CleanedData[Suspicious Flag],CleanedData[Year-Month],"2025-01")</f>
        <v/>
      </c>
    </row>
    <row r="17">
      <c r="A17" s="25" t="inlineStr">
        <is>
          <t>2025-02</t>
        </is>
      </c>
      <c r="B17" s="25">
        <f>COUNTIFS(CleanedData[Year-Month],"2025-02")</f>
        <v/>
      </c>
      <c r="C17" s="25">
        <f>ROUND(SUMIFS(CleanedData[In-Game Purchase ($)],CleanedData[Year-Month],"2025-02"),2)</f>
        <v/>
      </c>
      <c r="D17" s="25">
        <f>SUMIFS(CleanedData[Suspicious Flag],CleanedData[Year-Month],"2025-02")</f>
        <v/>
      </c>
    </row>
    <row r="18">
      <c r="A18" s="24" t="inlineStr">
        <is>
          <t>2025-03</t>
        </is>
      </c>
      <c r="B18" s="24">
        <f>COUNTIFS(CleanedData[Year-Month],"2025-03")</f>
        <v/>
      </c>
      <c r="C18" s="24">
        <f>ROUND(SUMIFS(CleanedData[In-Game Purchase ($)],CleanedData[Year-Month],"2025-03"),2)</f>
        <v/>
      </c>
      <c r="D18" s="24">
        <f>SUMIFS(CleanedData[Suspicious Flag],CleanedData[Year-Month],"2025-03")</f>
        <v/>
      </c>
    </row>
    <row r="19">
      <c r="A19" s="24" t="inlineStr">
        <is>
          <t>2025-04</t>
        </is>
      </c>
      <c r="B19" s="24">
        <f>COUNTIFS(CleanedData[Year-Month],"2025-04")</f>
        <v/>
      </c>
      <c r="C19" s="24">
        <f>ROUND(SUMIFS(CleanedData[In-Game Purchase ($)],CleanedData[Year-Month],"2025-04"),2)</f>
        <v/>
      </c>
      <c r="D19" s="24">
        <f>SUMIFS(CleanedData[Suspicious Flag],CleanedData[Year-Month],"2025-04")</f>
        <v/>
      </c>
    </row>
    <row r="20">
      <c r="A20" s="24" t="inlineStr">
        <is>
          <t>2025-05</t>
        </is>
      </c>
      <c r="B20" s="24">
        <f>COUNTIFS(CleanedData[Year-Month],"2025-05")</f>
        <v/>
      </c>
      <c r="C20" s="24">
        <f>ROUND(SUMIFS(CleanedData[In-Game Purchase ($)],CleanedData[Year-Month],"2025-05"),2)</f>
        <v/>
      </c>
      <c r="D20" s="24">
        <f>SUMIFS(CleanedData[Suspicious Flag],CleanedData[Year-Month],"2025-05")</f>
        <v/>
      </c>
    </row>
    <row r="21">
      <c r="A21" s="24" t="inlineStr">
        <is>
          <t>2025-06</t>
        </is>
      </c>
      <c r="B21" s="24">
        <f>COUNTIFS(CleanedData[Year-Month],"2025-06")</f>
        <v/>
      </c>
      <c r="C21" s="24">
        <f>ROUND(SUMIFS(CleanedData[In-Game Purchase ($)],CleanedData[Year-Month],"2025-06"),2)</f>
        <v/>
      </c>
      <c r="D21" s="24">
        <f>SUMIFS(CleanedData[Suspicious Flag],CleanedData[Year-Month],"2025-06")</f>
        <v/>
      </c>
    </row>
    <row r="22"/>
    <row r="23"/>
    <row r="24">
      <c r="A24" s="19" t="inlineStr">
        <is>
          <t>3. Platform Usage, Revenue &amp; ARPU</t>
        </is>
      </c>
    </row>
    <row r="25">
      <c r="A25" s="20" t="inlineStr">
        <is>
          <t>Platform</t>
        </is>
      </c>
      <c r="B25" s="20" t="inlineStr">
        <is>
          <t>Sessions</t>
        </is>
      </c>
      <c r="C25" s="20" t="inlineStr">
        <is>
          <t>Revenue ($)</t>
        </is>
      </c>
      <c r="D25" s="20" t="inlineStr">
        <is>
          <t>ARPU ($)</t>
        </is>
      </c>
    </row>
    <row r="26">
      <c r="A26" s="24" t="inlineStr">
        <is>
          <t>Console</t>
        </is>
      </c>
      <c r="B26" s="24">
        <f>COUNTIFS(CleanedData[Platform],"Console")</f>
        <v/>
      </c>
      <c r="C26" s="24">
        <f>ROUND(SUMIFS(CleanedData[In-Game Purchase ($)],CleanedData[Platform],"Console"),2)</f>
        <v/>
      </c>
      <c r="D26" s="24">
        <f>IFERROR(ROUND(SUMIFS(CleanedData[In-Game Purchase ($)],CleanedData[Platform],"Console")/COUNTIFS(CleanedData[Platform],"Console"),2),0)</f>
        <v/>
      </c>
    </row>
    <row r="27">
      <c r="A27" s="24" t="inlineStr">
        <is>
          <t>Mobile</t>
        </is>
      </c>
      <c r="B27" s="24">
        <f>COUNTIFS(CleanedData[Platform],"Mobile")</f>
        <v/>
      </c>
      <c r="C27" s="24">
        <f>ROUND(SUMIFS(CleanedData[In-Game Purchase ($)],CleanedData[Platform],"Mobile"),2)</f>
        <v/>
      </c>
      <c r="D27" s="24">
        <f>IFERROR(ROUND(SUMIFS(CleanedData[In-Game Purchase ($)],CleanedData[Platform],"Mobile")/COUNTIFS(CleanedData[Platform],"Mobile"),2),0)</f>
        <v/>
      </c>
    </row>
    <row r="28">
      <c r="A28" s="24" t="inlineStr">
        <is>
          <t>PC</t>
        </is>
      </c>
      <c r="B28" s="24">
        <f>COUNTIFS(CleanedData[Platform],"PC")</f>
        <v/>
      </c>
      <c r="C28" s="24">
        <f>ROUND(SUMIFS(CleanedData[In-Game Purchase ($)],CleanedData[Platform],"PC"),2)</f>
        <v/>
      </c>
      <c r="D28" s="24">
        <f>IFERROR(ROUND(SUMIFS(CleanedData[In-Game Purchase ($)],CleanedData[Platform],"PC")/COUNTIFS(CleanedData[Platform],"PC"),2),0)</f>
        <v/>
      </c>
    </row>
    <row r="29"/>
    <row r="30"/>
    <row r="31">
      <c r="A31" s="19" t="inlineStr">
        <is>
          <t>4. Session Status Breakdown</t>
        </is>
      </c>
    </row>
    <row r="32">
      <c r="A32" s="20" t="inlineStr">
        <is>
          <t>Session Status</t>
        </is>
      </c>
      <c r="B32" s="20" t="inlineStr">
        <is>
          <t>Count</t>
        </is>
      </c>
      <c r="C32" s="20" t="inlineStr">
        <is>
          <t>% of Total</t>
        </is>
      </c>
    </row>
    <row r="33">
      <c r="A33" s="24" t="inlineStr">
        <is>
          <t>Completed</t>
        </is>
      </c>
      <c r="B33" s="24">
        <f>COUNTIFS(CleanedData[Session Status],"Completed")</f>
        <v/>
      </c>
      <c r="C33" s="24">
        <f>ROUND(COUNTIFS(CleanedData[Session Status],"Completed")/COUNTA(CleanedData[Session ID])*100,1)</f>
        <v/>
      </c>
    </row>
    <row r="34">
      <c r="A34" s="24" t="inlineStr">
        <is>
          <t>Crashed</t>
        </is>
      </c>
      <c r="B34" s="24">
        <f>COUNTIFS(CleanedData[Session Status],"Crashed")</f>
        <v/>
      </c>
      <c r="C34" s="24">
        <f>ROUND(COUNTIFS(CleanedData[Session Status],"Crashed")/COUNTA(CleanedData[Session ID])*100,1)</f>
        <v/>
      </c>
    </row>
    <row r="35">
      <c r="A35" s="24" t="inlineStr">
        <is>
          <t>Exited Early</t>
        </is>
      </c>
      <c r="B35" s="24">
        <f>COUNTIFS(CleanedData[Session Status],"Exited Early")</f>
        <v/>
      </c>
      <c r="C35" s="24">
        <f>ROUND(COUNTIFS(CleanedData[Session Status],"Exited Early")/COUNTA(CleanedData[Session ID])*100,1)</f>
        <v/>
      </c>
    </row>
    <row r="36">
      <c r="A36" s="24" t="inlineStr">
        <is>
          <t>Incomplete</t>
        </is>
      </c>
      <c r="B36" s="24">
        <f>COUNTIFS(CleanedData[Session Status],"Incomplete")</f>
        <v/>
      </c>
      <c r="C36" s="24">
        <f>ROUND(COUNTIFS(CleanedData[Session Status],"Incomplete")/COUNTA(CleanedData[Session ID])*100,1)</f>
        <v/>
      </c>
    </row>
    <row r="37"/>
    <row r="39">
      <c r="A39" s="19" t="inlineStr">
        <is>
          <t>5. Suspicious Sessions by Region &amp; Engagement Level</t>
        </is>
      </c>
    </row>
    <row r="40">
      <c r="A40" s="20" t="inlineStr">
        <is>
          <t>Region</t>
        </is>
      </c>
      <c r="B40" s="20" t="inlineStr">
        <is>
          <t>Low</t>
        </is>
      </c>
      <c r="C40" s="20" t="inlineStr">
        <is>
          <t>Medium</t>
        </is>
      </c>
      <c r="D40" s="20" t="inlineStr">
        <is>
          <t>High</t>
        </is>
      </c>
    </row>
    <row r="41">
      <c r="A41" s="24" t="inlineStr">
        <is>
          <t>Central</t>
        </is>
      </c>
      <c r="B41" s="24">
        <f>COUNTIFS(CleanedData[Region],"Central",CleanedData[Engagement Level],"Low",CleanedData[Suspicious Flag],1)</f>
        <v/>
      </c>
      <c r="C41" s="24">
        <f>COUNTIFS(CleanedData[Region],"Central",CleanedData[Engagement Level],"Medium",CleanedData[Suspicious Flag],1)</f>
        <v/>
      </c>
      <c r="D41" s="24">
        <f>COUNTIFS(CleanedData[Region],"Central",CleanedData[Engagement Level],"High",CleanedData[Suspicious Flag],1)</f>
        <v/>
      </c>
    </row>
    <row r="42">
      <c r="A42" s="24" t="inlineStr">
        <is>
          <t>East</t>
        </is>
      </c>
      <c r="B42" s="24">
        <f>COUNTIFS(CleanedData[Region],"East",CleanedData[Engagement Level],"Low",CleanedData[Suspicious Flag],1)</f>
        <v/>
      </c>
      <c r="C42" s="24">
        <f>COUNTIFS(CleanedData[Region],"East",CleanedData[Engagement Level],"Medium",CleanedData[Suspicious Flag],1)</f>
        <v/>
      </c>
      <c r="D42" s="24">
        <f>COUNTIFS(CleanedData[Region],"East",CleanedData[Engagement Level],"High",CleanedData[Suspicious Flag],1)</f>
        <v/>
      </c>
    </row>
    <row r="43">
      <c r="A43" s="24" t="inlineStr">
        <is>
          <t>North</t>
        </is>
      </c>
      <c r="B43" s="24">
        <f>COUNTIFS(CleanedData[Region],"North",CleanedData[Engagement Level],"Low",CleanedData[Suspicious Flag],1)</f>
        <v/>
      </c>
      <c r="C43" s="24">
        <f>COUNTIFS(CleanedData[Region],"North",CleanedData[Engagement Level],"Medium",CleanedData[Suspicious Flag],1)</f>
        <v/>
      </c>
      <c r="D43" s="24">
        <f>COUNTIFS(CleanedData[Region],"North",CleanedData[Engagement Level],"High",CleanedData[Suspicious Flag],1)</f>
        <v/>
      </c>
    </row>
    <row r="44">
      <c r="A44" s="24" t="inlineStr">
        <is>
          <t>North-East</t>
        </is>
      </c>
      <c r="B44" s="24">
        <f>COUNTIFS(CleanedData[Region],"North-East",CleanedData[Engagement Level],"Low",CleanedData[Suspicious Flag],1)</f>
        <v/>
      </c>
      <c r="C44" s="24">
        <f>COUNTIFS(CleanedData[Region],"North-East",CleanedData[Engagement Level],"Medium",CleanedData[Suspicious Flag],1)</f>
        <v/>
      </c>
      <c r="D44" s="24">
        <f>COUNTIFS(CleanedData[Region],"North-East",CleanedData[Engagement Level],"High",CleanedData[Suspicious Flag],1)</f>
        <v/>
      </c>
    </row>
    <row r="45">
      <c r="A45" s="24" t="inlineStr">
        <is>
          <t>South</t>
        </is>
      </c>
      <c r="B45" s="24">
        <f>COUNTIFS(CleanedData[Region],"South",CleanedData[Engagement Level],"Low",CleanedData[Suspicious Flag],1)</f>
        <v/>
      </c>
      <c r="C45" s="24">
        <f>COUNTIFS(CleanedData[Region],"South",CleanedData[Engagement Level],"Medium",CleanedData[Suspicious Flag],1)</f>
        <v/>
      </c>
      <c r="D45" s="24">
        <f>COUNTIFS(CleanedData[Region],"South",CleanedData[Engagement Level],"High",CleanedData[Suspicious Flag],1)</f>
        <v/>
      </c>
    </row>
    <row r="46">
      <c r="A46" s="24" t="inlineStr">
        <is>
          <t>West</t>
        </is>
      </c>
      <c r="B46" s="24">
        <f>COUNTIFS(CleanedData[Region],"West",CleanedData[Engagement Level],"Low",CleanedData[Suspicious Flag],1)</f>
        <v/>
      </c>
      <c r="C46" s="24">
        <f>COUNTIFS(CleanedData[Region],"West",CleanedData[Engagement Level],"Medium",CleanedData[Suspicious Flag],1)</f>
        <v/>
      </c>
      <c r="D46" s="24">
        <f>COUNTIFS(CleanedData[Region],"West",CleanedData[Engagement Level],"High",CleanedData[Suspicious Flag],1)</f>
        <v/>
      </c>
    </row>
    <row r="49">
      <c r="A49" s="19" t="inlineStr">
        <is>
          <t>6. Session Count by Engagement Level</t>
        </is>
      </c>
    </row>
    <row r="50">
      <c r="A50" s="20" t="inlineStr">
        <is>
          <t>Engagement Level</t>
        </is>
      </c>
      <c r="B50" s="20" t="inlineStr">
        <is>
          <t>Sessions</t>
        </is>
      </c>
    </row>
    <row r="51">
      <c r="A51" s="24" t="inlineStr">
        <is>
          <t>Low</t>
        </is>
      </c>
      <c r="B51" s="24">
        <f>COUNTIFS(CleanedData[Engagement Level],"Low")</f>
        <v/>
      </c>
    </row>
    <row r="52">
      <c r="A52" s="24" t="inlineStr">
        <is>
          <t>Medium</t>
        </is>
      </c>
      <c r="B52" s="24">
        <f>COUNTIFS(CleanedData[Engagement Level],"Medium")</f>
        <v/>
      </c>
    </row>
    <row r="53">
      <c r="A53" s="24" t="inlineStr">
        <is>
          <t>High</t>
        </is>
      </c>
      <c r="B53" s="24">
        <f>COUNTIFS(CleanedData[Engagement Level],"High")</f>
        <v/>
      </c>
    </row>
    <row r="56">
      <c r="A56" s="19" t="inlineStr">
        <is>
          <t>7. Made Purchase vs Did Not (Free vs Paying Sessions)</t>
        </is>
      </c>
    </row>
    <row r="57">
      <c r="A57" s="20" t="inlineStr">
        <is>
          <t>Made Purchase</t>
        </is>
      </c>
      <c r="B57" s="20" t="inlineStr">
        <is>
          <t>Sessions</t>
        </is>
      </c>
    </row>
    <row r="58">
      <c r="A58" s="24" t="inlineStr">
        <is>
          <t>Yes</t>
        </is>
      </c>
      <c r="B58" s="24">
        <f>COUNTIFS(CleanedData[Made Purchase],"Yes")</f>
        <v/>
      </c>
    </row>
    <row r="59">
      <c r="A59" s="24" t="inlineStr">
        <is>
          <t>No</t>
        </is>
      </c>
      <c r="B59" s="24">
        <f>COUNTIFS(CleanedData[Made Purchase],"No")</f>
        <v/>
      </c>
    </row>
    <row r="62">
      <c r="A62" s="19" t="inlineStr">
        <is>
          <t>8. Monthly Purchase Trend (Made Purchase: Yes vs No)</t>
        </is>
      </c>
    </row>
    <row r="63">
      <c r="A63" s="20" t="inlineStr">
        <is>
          <t>Year-Month</t>
        </is>
      </c>
      <c r="B63" s="20" t="inlineStr">
        <is>
          <t>Purchase: Yes</t>
        </is>
      </c>
      <c r="C63" s="20" t="inlineStr">
        <is>
          <t>Purchase: No</t>
        </is>
      </c>
    </row>
    <row r="64">
      <c r="A64" s="24" t="inlineStr">
        <is>
          <t>2024-12</t>
        </is>
      </c>
      <c r="B64" s="24">
        <f>COUNTIFS(CleanedData[Year-Month],"2024-12",CleanedData[Made Purchase],"Yes")</f>
        <v/>
      </c>
      <c r="C64" s="24">
        <f>COUNTIFS(CleanedData[Year-Month],"2024-12",CleanedData[Made Purchase],"No")</f>
        <v/>
      </c>
    </row>
    <row r="65">
      <c r="A65" s="24" t="inlineStr">
        <is>
          <t>2025-01</t>
        </is>
      </c>
      <c r="B65" s="24">
        <f>COUNTIFS(CleanedData[Year-Month],"2025-01",CleanedData[Made Purchase],"Yes")</f>
        <v/>
      </c>
      <c r="C65" s="24">
        <f>COUNTIFS(CleanedData[Year-Month],"2025-01",CleanedData[Made Purchase],"No")</f>
        <v/>
      </c>
    </row>
    <row r="66">
      <c r="A66" s="24" t="inlineStr">
        <is>
          <t>2025-02</t>
        </is>
      </c>
      <c r="B66" s="24">
        <f>COUNTIFS(CleanedData[Year-Month],"2025-02",CleanedData[Made Purchase],"Yes")</f>
        <v/>
      </c>
      <c r="C66" s="24">
        <f>COUNTIFS(CleanedData[Year-Month],"2025-02",CleanedData[Made Purchase],"No")</f>
        <v/>
      </c>
    </row>
    <row r="67">
      <c r="A67" s="24" t="inlineStr">
        <is>
          <t>2025-03</t>
        </is>
      </c>
      <c r="B67" s="24">
        <f>COUNTIFS(CleanedData[Year-Month],"2025-03",CleanedData[Made Purchase],"Yes")</f>
        <v/>
      </c>
      <c r="C67" s="24">
        <f>COUNTIFS(CleanedData[Year-Month],"2025-03",CleanedData[Made Purchase],"No")</f>
        <v/>
      </c>
    </row>
    <row r="68">
      <c r="A68" s="24" t="inlineStr">
        <is>
          <t>2025-04</t>
        </is>
      </c>
      <c r="B68" s="24">
        <f>COUNTIFS(CleanedData[Year-Month],"2025-04",CleanedData[Made Purchase],"Yes")</f>
        <v/>
      </c>
      <c r="C68" s="24">
        <f>COUNTIFS(CleanedData[Year-Month],"2025-04",CleanedData[Made Purchase],"No")</f>
        <v/>
      </c>
    </row>
    <row r="69">
      <c r="A69" s="24" t="inlineStr">
        <is>
          <t>2025-05</t>
        </is>
      </c>
      <c r="B69" s="24">
        <f>COUNTIFS(CleanedData[Year-Month],"2025-05",CleanedData[Made Purchase],"Yes")</f>
        <v/>
      </c>
      <c r="C69" s="24">
        <f>COUNTIFS(CleanedData[Year-Month],"2025-05",CleanedData[Made Purchase],"No")</f>
        <v/>
      </c>
    </row>
    <row r="70">
      <c r="A70" s="24" t="inlineStr">
        <is>
          <t>2025-06</t>
        </is>
      </c>
      <c r="B70" s="24">
        <f>COUNTIFS(CleanedData[Year-Month],"2025-06",CleanedData[Made Purchase],"Yes")</f>
        <v/>
      </c>
      <c r="C70" s="24">
        <f>COUNTIFS(CleanedData[Year-Month],"2025-06",CleanedData[Made Purchase],"No")</f>
        <v/>
      </c>
    </row>
    <row r="73">
      <c r="A73" s="19" t="inlineStr">
        <is>
          <t>9. Suspicious Sessions Over Time</t>
        </is>
      </c>
    </row>
    <row r="74">
      <c r="A74" s="20" t="inlineStr">
        <is>
          <t>Year-Month</t>
        </is>
      </c>
      <c r="B74" s="20" t="inlineStr">
        <is>
          <t>Suspicious Sessions</t>
        </is>
      </c>
    </row>
    <row r="75">
      <c r="A75" s="24" t="inlineStr">
        <is>
          <t>2024-12</t>
        </is>
      </c>
      <c r="B75" s="24">
        <f>SUMIFS(CleanedData[Suspicious Flag],CleanedData[Year-Month],"2024-12")</f>
        <v/>
      </c>
    </row>
    <row r="76">
      <c r="A76" s="24" t="inlineStr">
        <is>
          <t>2025-01</t>
        </is>
      </c>
      <c r="B76" s="24">
        <f>SUMIFS(CleanedData[Suspicious Flag],CleanedData[Year-Month],"2025-01")</f>
        <v/>
      </c>
    </row>
    <row r="77">
      <c r="A77" s="24" t="inlineStr">
        <is>
          <t>2025-02</t>
        </is>
      </c>
      <c r="B77" s="24">
        <f>SUMIFS(CleanedData[Suspicious Flag],CleanedData[Year-Month],"2025-02")</f>
        <v/>
      </c>
    </row>
    <row r="78">
      <c r="A78" s="24" t="inlineStr">
        <is>
          <t>2025-03</t>
        </is>
      </c>
      <c r="B78" s="24">
        <f>SUMIFS(CleanedData[Suspicious Flag],CleanedData[Year-Month],"2025-03")</f>
        <v/>
      </c>
    </row>
    <row r="79">
      <c r="A79" s="24" t="inlineStr">
        <is>
          <t>2025-04</t>
        </is>
      </c>
      <c r="B79" s="24">
        <f>SUMIFS(CleanedData[Suspicious Flag],CleanedData[Year-Month],"2025-04")</f>
        <v/>
      </c>
    </row>
    <row r="80">
      <c r="A80" s="24" t="inlineStr">
        <is>
          <t>2025-05</t>
        </is>
      </c>
      <c r="B80" s="24">
        <f>SUMIFS(CleanedData[Suspicious Flag],CleanedData[Year-Month],"2025-05")</f>
        <v/>
      </c>
    </row>
    <row r="81">
      <c r="A81" s="24" t="inlineStr">
        <is>
          <t>2025-06</t>
        </is>
      </c>
      <c r="B81" s="24">
        <f>SUMIFS(CleanedData[Suspicious Flag],CleanedData[Year-Month],"2025-06")</f>
        <v/>
      </c>
    </row>
    <row r="84">
      <c r="A84" s="19" t="inlineStr">
        <is>
          <t>10. Headline KPIs</t>
        </is>
      </c>
    </row>
    <row r="85">
      <c r="A85" s="24" t="inlineStr">
        <is>
          <t>Total Sessions</t>
        </is>
      </c>
      <c r="B85" s="24">
        <f>COUNTA(CleanedData[Session ID])</f>
        <v/>
      </c>
    </row>
    <row r="86">
      <c r="A86" s="24" t="inlineStr">
        <is>
          <t>Unique Players</t>
        </is>
      </c>
      <c r="B86" s="24">
        <f>SUMPRODUCT(1/COUNTIF(CleanedData[Player ID],CleanedData[Player ID]))</f>
        <v/>
      </c>
    </row>
    <row r="87">
      <c r="A87" s="24" t="inlineStr">
        <is>
          <t>Total Revenue ($)</t>
        </is>
      </c>
      <c r="B87" s="24">
        <f>ROUND(SUM(CleanedData[In-Game Purchase ($)]),2)</f>
        <v/>
      </c>
    </row>
    <row r="88">
      <c r="A88" s="24" t="inlineStr">
        <is>
          <t>Overall ARPU ($)</t>
        </is>
      </c>
      <c r="B88" s="24">
        <f>ROUND(SUM(CleanedData[In-Game Purchase ($)])/SUMPRODUCT(1/COUNTIF(CleanedData[Player ID],CleanedData[Player ID])),2)</f>
        <v/>
      </c>
    </row>
    <row r="89">
      <c r="A89" s="24" t="inlineStr">
        <is>
          <t>Avg Session Duration (min)</t>
        </is>
      </c>
      <c r="B89" s="24">
        <f>ROUND(AVERAGE(CleanedData[Session Duration (min)]),1)</f>
        <v/>
      </c>
    </row>
    <row r="90">
      <c r="A90" s="24" t="inlineStr">
        <is>
          <t>Session Success Rate %</t>
        </is>
      </c>
      <c r="B90" s="24">
        <f>ROUND(COUNTIFS(CleanedData[Session Status],"Completed")/COUNTA(CleanedData[Session ID])*100,1)</f>
        <v/>
      </c>
    </row>
    <row r="91">
      <c r="A91" s="24" t="inlineStr">
        <is>
          <t>Suspicious Sessions</t>
        </is>
      </c>
      <c r="B91" s="24">
        <f>SUM(CleanedData[Suspicious Flag])</f>
        <v/>
      </c>
    </row>
    <row r="92">
      <c r="A92" s="24" t="inlineStr">
        <is>
          <t>Suspicious Rate %</t>
        </is>
      </c>
      <c r="B92" s="24">
        <f>ROUND(SUM(CleanedData[Suspicious Flag])/COUNTA(CleanedData[Session ID])*100,2)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00" customWidth="1" style="26" min="1" max="1"/>
  </cols>
  <sheetData>
    <row r="1" ht="32.85" customHeight="1" s="26">
      <c r="A1" s="21" t="inlineStr">
        <is>
          <t>GAMING PLATFORM PLAYER &amp; TRANSACTION ANALYSIS — PROJECT GUIDE</t>
        </is>
      </c>
    </row>
    <row r="2">
      <c r="A2" s="22" t="n"/>
    </row>
    <row r="3">
      <c r="A3" s="23" t="inlineStr">
        <is>
          <t>WHAT'S IN THIS WORKBOOK</t>
        </is>
      </c>
    </row>
    <row r="4">
      <c r="A4" s="22" t="inlineStr">
        <is>
          <t>• Raw_Data — your original dataset (500 sessions), unmodified.</t>
        </is>
      </c>
    </row>
    <row r="5">
      <c r="A5" s="22" t="inlineStr">
        <is>
          <t>• Cleaned_Data — Purchase Type blanks filled with 'No Purchase' (checked for duplicates,</t>
        </is>
      </c>
    </row>
    <row r="6">
      <c r="A6" s="22" t="inlineStr">
        <is>
          <t xml:space="preserve">   negative values and out-of-range dates — none found), plus 5 live formula columns:</t>
        </is>
      </c>
    </row>
    <row r="7">
      <c r="A7" s="22" t="inlineStr">
        <is>
          <t xml:space="preserve">   Year-Month, Engagement Level, Made Purchase, Suspicious Flag, QA Suspicious Match.</t>
        </is>
      </c>
    </row>
    <row r="8">
      <c r="A8" s="22" t="n"/>
    </row>
    <row r="9">
      <c r="A9" s="23" t="inlineStr">
        <is>
          <t>DATA QUALITY FINDING — WORTH MENTIONING IN YOUR PRESENTATION</t>
        </is>
      </c>
    </row>
    <row r="10">
      <c r="A10" s="22" t="inlineStr">
        <is>
          <t>The case study brief describes the 'Is Suspicious' rule as: duration &gt; 150 min AND</t>
        </is>
      </c>
    </row>
    <row r="11">
      <c r="A11" s="22" t="inlineStr">
        <is>
          <t>purchase &gt; $40. Checking that rule against your actual data, only 80% of rows match.</t>
        </is>
      </c>
    </row>
    <row r="12">
      <c r="A12" s="22" t="inlineStr">
        <is>
          <t>The rule that matches 100% of your 500 rows is actually an OR condition:</t>
        </is>
      </c>
    </row>
    <row r="13">
      <c r="A13" s="22" t="inlineStr">
        <is>
          <t>duration &gt; 150 min OR purchase &gt; $40. The QA Suspicious Match column in Cleaned_Data</t>
        </is>
      </c>
    </row>
    <row r="14">
      <c r="A14" s="22" t="inlineStr">
        <is>
          <t>is built on this corrected OR rule and shows a 100% match — a good, genuine insight to</t>
        </is>
      </c>
    </row>
    <row r="15">
      <c r="A15" s="22" t="inlineStr">
        <is>
          <t>call out: 'validated the anti-fraud flagging logic and identified the actual threshold rule.'</t>
        </is>
      </c>
    </row>
    <row r="16">
      <c r="A16" s="22" t="inlineStr">
        <is>
          <t>• Summary_Tables — SUMIFS/COUNTIFS/AVERAGEIFS KPI tables that feed every dashboard chart.</t>
        </is>
      </c>
    </row>
    <row r="17">
      <c r="A17" s="22" t="inlineStr">
        <is>
          <t>• Dashboard — headline KPI cards (with a Region/Platform dropdown filter) + 9 charts</t>
        </is>
      </c>
    </row>
    <row r="18">
      <c r="A18" s="22" t="inlineStr">
        <is>
          <t xml:space="preserve">   covering every chart type requested in the brief (bar, line, pie/donut, stacked bar, column).</t>
        </is>
      </c>
    </row>
    <row r="19">
      <c r="A19" s="22" t="n"/>
    </row>
    <row r="20">
      <c r="A20" s="23" t="inlineStr">
        <is>
          <t>HOW TO ADD NATIVE PIVOTTABLES + SLICERS (for full marks / true one-click filtering)</t>
        </is>
      </c>
    </row>
    <row r="21">
      <c r="A21" s="22" t="inlineStr">
        <is>
          <t>Excel PivotTables and Slicers are objects that only Excel itself can create correctly — they</t>
        </is>
      </c>
    </row>
    <row r="22">
      <c r="A22" s="22" t="inlineStr">
        <is>
          <t>can't be pre-built by an external script the way formulas and charts can. It takes ~5 minutes:</t>
        </is>
      </c>
    </row>
    <row r="23">
      <c r="A23" s="22" t="inlineStr">
        <is>
          <t>1. Open Cleaned_Data, click any cell inside the CleanedData table.</t>
        </is>
      </c>
    </row>
    <row r="24">
      <c r="A24" s="22" t="inlineStr">
        <is>
          <t>2. Insert → PivotTable → New Worksheet. Name the sheet 'Pivot_Sessions'.</t>
        </is>
      </c>
    </row>
    <row r="25">
      <c r="A25" s="22" t="inlineStr">
        <is>
          <t>3. Build the pivots you need, e.g.:</t>
        </is>
      </c>
    </row>
    <row r="26">
      <c r="A26" s="22" t="inlineStr">
        <is>
          <t xml:space="preserve">   - Rows: Region | Values: Count of Session ID, Sum of In-Game Purchase ($)</t>
        </is>
      </c>
    </row>
    <row r="27">
      <c r="A27" s="22" t="inlineStr">
        <is>
          <t xml:space="preserve">   - Rows: Year-Month | Values: Count of Session ID, Sum of In-Game Purchase ($)</t>
        </is>
      </c>
    </row>
    <row r="28">
      <c r="A28" s="22" t="inlineStr">
        <is>
          <t xml:space="preserve">   - Rows: Platform | Values: Count of Session ID, Average of Session Duration (min)</t>
        </is>
      </c>
    </row>
    <row r="29">
      <c r="A29" s="22" t="inlineStr">
        <is>
          <t xml:space="preserve">   - Rows: Engagement Level, Columns: Suspicious Flag | Values: Count of Session ID</t>
        </is>
      </c>
    </row>
    <row r="30">
      <c r="A30" s="22" t="inlineStr">
        <is>
          <t>4. Click the PivotTable → PivotTable Analyze → Insert Slicer → tick Region, Platform,</t>
        </is>
      </c>
    </row>
    <row r="31">
      <c r="A31" s="22" t="inlineStr">
        <is>
          <t xml:space="preserve">   Game Name, Purchase Type, Player Type, Year-Month.</t>
        </is>
      </c>
    </row>
    <row r="32">
      <c r="A32" s="22" t="inlineStr">
        <is>
          <t>5. Right-click each slicer → Report Connections → tick every PivotTable it should filter.</t>
        </is>
      </c>
    </row>
    <row r="33">
      <c r="A33" s="22" t="inlineStr">
        <is>
          <t>6. Select each new PivotChart (PivotTable Analyze → PivotChart) and drag it onto the</t>
        </is>
      </c>
    </row>
    <row r="34">
      <c r="A34" s="22" t="inlineStr">
        <is>
          <t xml:space="preserve">   Dashboard sheet next to the matching formula-based chart, or replace it — either is fine.</t>
        </is>
      </c>
    </row>
    <row r="35">
      <c r="A35" s="22" t="inlineStr">
        <is>
          <t>Once connected, clicking a slicer button filters every linked PivotTable/PivotChart instantly —</t>
        </is>
      </c>
    </row>
    <row r="36">
      <c r="A36" s="22" t="inlineStr">
        <is>
          <t>this is the 'interactive dashboard' the brief asks for, on top of the dropdown filters already built in.</t>
        </is>
      </c>
    </row>
    <row r="37">
      <c r="A37" s="22" t="n"/>
    </row>
    <row r="38">
      <c r="A38" s="23" t="inlineStr">
        <is>
          <t>KEY INSIGHTS TO CALL OUT IN YOUR VIDEO / LINKEDIN POST</t>
        </is>
      </c>
    </row>
    <row r="39">
      <c r="A39" s="22" t="inlineStr">
        <is>
          <t>• Mobile drives the large majority of sessions, but check the ARPU table — PC/Console often</t>
        </is>
      </c>
    </row>
    <row r="40">
      <c r="A40" s="22" t="inlineStr">
        <is>
          <t xml:space="preserve">   monetize better per session even with fewer players.</t>
        </is>
      </c>
    </row>
    <row r="41">
      <c r="A41" s="22" t="inlineStr">
        <is>
          <t>• Session success rate (Completed %) vs Crashed/Incomplete highlights platform stability issues.</t>
        </is>
      </c>
    </row>
    <row r="42">
      <c r="A42" s="22" t="inlineStr">
        <is>
          <t>• Suspicious sessions cluster in specific regions/engagement bands — flag these for the anti-fraud team.</t>
        </is>
      </c>
    </row>
    <row r="43">
      <c r="A43" s="22" t="inlineStr">
        <is>
          <t>• Only a minority of sessions convert to a purchase — compare Free vs Paid player behavior for</t>
        </is>
      </c>
    </row>
    <row r="44">
      <c r="A44" s="22" t="inlineStr">
        <is>
          <t xml:space="preserve">   monetization strategy recommendations.</t>
        </is>
      </c>
    </row>
    <row r="45">
      <c r="A45" s="22" t="inlineStr">
        <is>
          <t>• Track the monthly trend line for seasonality (e.g., festival months, new game launches).</t>
        </is>
      </c>
    </row>
    <row r="46">
      <c r="A46" s="22" t="n"/>
    </row>
    <row r="47">
      <c r="A47" s="23" t="inlineStr">
        <is>
          <t>NEXT STEPS (per the case study brief)</t>
        </is>
      </c>
    </row>
    <row r="48">
      <c r="A48" s="22" t="inlineStr">
        <is>
          <t>1. Push to GitHub — dataset, cleaned file, pivot tables, dashboard, and a README with</t>
        </is>
      </c>
    </row>
    <row r="49">
      <c r="A49" s="22" t="inlineStr">
        <is>
          <t xml:space="preserve">   problem statement, workflow, screenshots, insights, and recommendations.</t>
        </is>
      </c>
    </row>
    <row r="50">
      <c r="A50" s="22" t="inlineStr">
        <is>
          <t>2. Record a short video walking through: business problem → cleaning → KPIs → dashboard → insights.</t>
        </is>
      </c>
    </row>
    <row r="51">
      <c r="A51" s="22" t="inlineStr">
        <is>
          <t>3. Post on LinkedIn, tag your trainer/mentors, and add the project to your resume.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2026-09-06T09:53:14Z</dcterms:created>
  <dcterms:modified xmlns:dcterms="http://purl.org/dc/terms/" xmlns:xsi="http://www.w3.org/2001/XMLSchema-instance" xsi:type="dcterms:W3CDTF">2026-09-27T11:06:05Z</dcterms:modified>
  <cp:revision>1</cp:revision>
</cp:coreProperties>
</file>